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c3f76a4a04d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16d618c8abed4f25"/>
    <x:sheet xmlns:r="http://schemas.openxmlformats.org/officeDocument/2006/relationships" name="Escalade DCF" sheetId="2" r:id="Rd3450fcf31c14d6e"/>
    <x:sheet xmlns:r="http://schemas.openxmlformats.org/officeDocument/2006/relationships" name="FitLife DCF" sheetId="3" r:id="Rc8e67363adbf4077"/>
    <x:sheet xmlns:r="http://schemas.openxmlformats.org/officeDocument/2006/relationships" name="Sources" sheetId="4" r:id="Rabd51bed6a18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;(#,##0.0);–"/>
    <x:numFmt numFmtId="201" formatCode="0.0%;(0.0%);–"/>
    <x:numFmt numFmtId="202" formatCode="0.000"/>
  </x:numFmts>
  <x:fonts count="7">
    <x:font>
      <x:sz val="11"/>
      <x:name val="Carlito"/>
    </x:font>
    <x:font>
      <x:sz val="10"/>
      <x:color rgb="FF26394D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color rgb="FF0000FF"/>
      <x:name val="Aptos"/>
    </x:font>
    <x:font>
      <x:sz val="10"/>
      <x:color rgb="FF008000"/>
      <x:name val="Aptos"/>
    </x:font>
    <x:font>
      <x:b/>
      <x:sz val="10"/>
      <x:color rgb="FF142A4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42A40"/>
      </x:patternFill>
    </x:fill>
    <x:fill>
      <x:patternFill patternType="solid">
        <x:fgColor rgb="FF007C83"/>
      </x:patternFill>
    </x:fill>
    <x:fill>
      <x:patternFill patternType="solid">
        <x:fgColor rgb="FFE9F2F2"/>
      </x:patternFill>
    </x:fill>
    <x:fill>
      <x:patternFill patternType="solid">
        <x:fgColor rgb="FFD4EB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200" fontId="4" fillId="0" borderId="0" xfId="0" applyNumberFormat="1" applyFont="1" applyFill="1" applyBorder="1"/>
    <x:xf numFmtId="201" fontId="1" fillId="0" borderId="0" xfId="0" applyNumberFormat="1" applyFont="1" applyFill="1" applyBorder="1"/>
    <x:xf numFmtId="201" fontId="4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0" fontId="3" fillId="2" borderId="0" xfId="0" applyNumberFormat="1" applyFont="1" applyFill="1" applyBorder="1"/>
    <x:xf numFmtId="200" fontId="1" fillId="5" borderId="0" xfId="0" applyNumberFormat="1" applyFont="1" applyFill="1" applyBorder="1"/>
    <x:xf numFmtId="200" fontId="6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055f8ad05d4af9" /><Relationship Type="http://schemas.openxmlformats.org/officeDocument/2006/relationships/theme" Target="/xl/theme/theme1.xml" Id="Re1a0a1bde912433f" /><Relationship Type="http://schemas.openxmlformats.org/officeDocument/2006/relationships/sharedStrings" Target="/xl/sharedStrings.xml" Id="R86ae68baa1e04a86" /><Relationship Type="http://schemas.openxmlformats.org/officeDocument/2006/relationships/worksheet" Target="/xl/worksheets/sheet1.xml" Id="R16d618c8abed4f25" /><Relationship Type="http://schemas.openxmlformats.org/officeDocument/2006/relationships/worksheet" Target="/xl/worksheets/sheet2.xml" Id="Rd3450fcf31c14d6e" /><Relationship Type="http://schemas.openxmlformats.org/officeDocument/2006/relationships/worksheet" Target="/xl/worksheets/sheet3.xml" Id="Rc8e67363adbf4077" /><Relationship Type="http://schemas.openxmlformats.org/officeDocument/2006/relationships/worksheet" Target="/xl/worksheets/sheet4.xml" Id="Rabd51bed6a1845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67" hidden="0" customWidth="1"/>
    <x:col min="2" max="2" width="21" hidden="0" customWidth="1"/>
    <x:col min="3" max="3" width="2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3" t="str">
        <x:v>Under Armour acquisition decision | two target screens</x:v>
      </x:c>
      <x:c r="B1" s="3"/>
      <x:c r="C1" s="3"/>
      <x:c r="D1" s="3"/>
      <x:c r="E1" s="3"/>
      <x:c r="F1" s="3"/>
      <x:c r="G1" s="1"/>
      <x:c r="H1" s="1"/>
      <x:c r="I1" s="1"/>
      <x:c r="J1" s="1"/>
      <x:c r="K1" s="1"/>
      <x:c r="L1" s="1"/>
    </x:row>
    <x:row r="2">
      <x:c r="A2" s="1" t="str">
        <x:v>Standalone DCF is a screening hurdle. All values USD millions; illustrative as of October 22, 2026.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5" t="str">
        <x:v>Measure</x:v>
      </x:c>
      <x:c r="B4" s="5" t="str">
        <x:v>Escalade</x:v>
      </x:c>
      <x:c r="C4" s="5" t="str">
        <x:v>FitLife</x:v>
      </x:c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 t="str">
        <x:v>LTM revenue</x:v>
      </x:c>
      <x:c r="B5" s="6" t="n">
        <x:f>'Escalade DCF'!B5</x:f>
        <x:v>243.83299999999997</x:v>
      </x:c>
      <x:c r="C5" s="6" t="n">
        <x:f>'FitLife DCF'!B5</x:f>
        <x:v>101.26899999999999</x:v>
      </x:c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 t="str">
        <x:v>Normalized / GAAP operating income</x:v>
      </x:c>
      <x:c r="B6" s="6" t="n">
        <x:f>'Escalade DCF'!B6</x:f>
        <x:v>20.347999999999995</x:v>
      </x:c>
      <x:c r="C6" s="6" t="n">
        <x:f>'FitLife DCF'!B6</x:f>
        <x:v>11.002000000000002</x:v>
      </x:c>
      <x:c r="D6" s="1"/>
      <x:c r="E6" s="1"/>
      <x:c r="F6" s="1"/>
      <x:c r="G6" s="1"/>
      <x:c r="H6" s="1"/>
      <x:c r="I6" s="1"/>
      <x:c r="J6" s="1"/>
      <x:c r="K6" s="1"/>
      <x:c r="L6" s="1"/>
    </x:row>
    <x:row r="7" ht="24" customHeight="1">
      <x:c r="A7" s="1" t="str">
        <x:v>Standalone enterprise DCF</x:v>
      </x:c>
      <x:c r="B7" s="6" t="n">
        <x:f>'Escalade DCF'!B30</x:f>
        <x:v>214.1005129706932</x:v>
      </x:c>
      <x:c r="C7" s="6" t="n">
        <x:f>'FitLife DCF'!B30</x:f>
        <x:v>104.25942056954975</x:v>
      </x:c>
      <x:c r="D7" s="1"/>
      <x:c r="E7" s="1"/>
      <x:c r="F7" s="1"/>
      <x:c r="G7" s="1"/>
      <x:c r="H7" s="1"/>
      <x:c r="I7" s="1"/>
      <x:c r="J7" s="1"/>
      <x:c r="K7" s="1"/>
      <x:c r="L7" s="1"/>
    </x:row>
    <x:row r="8" ht="24" customHeight="1">
      <x:c r="A8" s="1" t="str">
        <x:v>Indicative offer enterprise value</x:v>
      </x:c>
      <x:c r="B8" s="6" t="n">
        <x:f>'Escalade DCF'!B16</x:f>
        <x:v>323.54042232499995</x:v>
      </x:c>
      <x:c r="C8" s="6" t="n">
        <x:f>'FitLife DCF'!B16</x:f>
        <x:v>134.036</x:v>
      </x:c>
      <x:c r="D8" s="1"/>
      <x:c r="E8" s="1"/>
      <x:c r="F8" s="1"/>
      <x:c r="G8" s="1"/>
      <x:c r="H8" s="1"/>
      <x:c r="I8" s="1"/>
      <x:c r="J8" s="1"/>
      <x:c r="K8" s="1"/>
      <x:c r="L8" s="1"/>
    </x:row>
    <x:row r="9" ht="24" customHeight="1">
      <x:c r="A9" s="15" t="str">
        <x:v>DCF value less offer EV</x:v>
      </x:c>
      <x:c r="B9" s="16" t="n">
        <x:f>'Escalade DCF'!B32</x:f>
        <x:v>-109.43990935430676</x:v>
      </x:c>
      <x:c r="C9" s="16" t="n">
        <x:f>'FitLife DCF'!B32</x:f>
        <x:v>-29.776579430450255</x:v>
      </x:c>
      <x:c r="D9" s="1"/>
      <x:c r="E9" s="1"/>
      <x:c r="F9" s="1"/>
      <x:c r="G9" s="1"/>
      <x:c r="H9" s="1"/>
      <x:c r="I9" s="1"/>
      <x:c r="J9" s="1"/>
      <x:c r="K9" s="1"/>
      <x:c r="L9" s="1"/>
    </x:row>
    <x:row r="10" ht="24" customHeight="1">
      <x:c r="A10" s="1" t="str">
        <x:v>Closing UA cash</x:v>
      </x:c>
      <x:c r="B10" s="6" t="n">
        <x:f>'Escalade DCF'!B19</x:f>
        <x:v>261.47143107</x:v>
      </x:c>
      <x:c r="C10" s="6" t="n">
        <x:f>'FitLife DCF'!B19</x:f>
        <x:v>306.4575</x:v>
      </x:c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" t="str">
        <x:v>Stock issued to sellers</x:v>
      </x:c>
      <x:c r="B11" s="6" t="n">
        <x:f>'Escalade DCF'!B18</x:f>
        <x:v>195.03085339499998</x:v>
      </x:c>
      <x:c r="C11" s="6" t="n">
        <x:f>'FitLife DCF'!B18</x:f>
        <x:v>48.5125</x:v>
      </x:c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 t="str">
        <x:v>Fees</x:v>
      </x:c>
      <x:c r="B12" s="6" t="n">
        <x:f>'Escalade DCF'!B14</x:f>
        <x:v>6</x:v>
      </x:c>
      <x:c r="C12" s="6" t="n">
        <x:f>'FitLife DCF'!B14</x:f>
        <x:v>4</x:v>
      </x:c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 t="str">
        <x:v>No-synergy result</x:v>
      </x:c>
      <x:c r="B13" s="1" t="str">
        <x:f>IF(B9&gt;=0,"Meets standalone DCF","Below offer price")</x:f>
        <x:v>Below offer price</x:v>
      </x:c>
      <x:c r="C13" s="1" t="str">
        <x:f>IF(C9&gt;=0,"Meets standalone DCF","Below offer price")</x:f>
        <x:v>Below offer price</x:v>
      </x:c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 t="str">
        <x:v>Decision gate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 t="str">
        <x:v>Escalade: stronger strategic fit, but confirm case eligibility and brand licenses.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 t="str">
        <x:v>FitLife: lower cost, but legacy sales decline and supplement risk require proof.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 t="str">
        <x:v>Neither indicative offer clears standalone DCF on these assumptions.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 t="str">
        <x:v>Require verified, risk-adjusted synergy PV plus integration costs before an offer.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 t="str">
        <x:v>Limitations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 t="str">
        <x:v>Historical periods end June 2026; no current company guidance is used as a DCF forecast.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 t="str">
        <x:v>Share quotes are secondary and need licensed price verification.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 t="str">
        <x:v>No purchase accounting, tax shields, financing cost, market reaction or merger probability.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17" hidden="0" customWidth="1"/>
    <x:col min="3" max="3" width="2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3" t="str">
        <x:v>Escalade | standalone DCF and illustrative offer</x:v>
      </x:c>
      <x:c r="B1" s="3"/>
      <x:c r="C1" s="3"/>
      <x:c r="D1" s="3"/>
      <x:c r="E1" s="3"/>
      <x:c r="F1" s="3"/>
      <x:c r="G1" s="3"/>
      <x:c r="H1" s="3"/>
      <x:c r="I1" s="1"/>
      <x:c r="J1" s="1"/>
      <x:c r="K1" s="1"/>
      <x:c r="L1" s="1"/>
    </x:row>
    <x:row r="2">
      <x:c r="A2" s="1" t="str">
        <x:v>USD millions; Oct 22, 2026 information cut-off; rolling years after June 2026 LTM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5" customHeight="1">
      <x:c r="A4" s="3" t="str">
        <x:v>Historical base and deal assumptions</x:v>
      </x:c>
      <x:c r="B4" s="3"/>
      <x:c r="C4" s="1"/>
      <x:c r="D4" s="5" t="str">
        <x:v>Year 1</x:v>
      </x:c>
      <x:c r="E4" s="5" t="str">
        <x:v>Year 2</x:v>
      </x:c>
      <x:c r="F4" s="5" t="str">
        <x:v>Year 3</x:v>
      </x:c>
      <x:c r="G4" s="5" t="str">
        <x:v>Year 4</x:v>
      </x:c>
      <x:c r="H4" s="5" t="str">
        <x:v>Year 5</x:v>
      </x:c>
      <x:c r="I4" s="1"/>
      <x:c r="J4" s="1"/>
      <x:c r="K4" s="1"/>
      <x:c r="L4" s="1"/>
    </x:row>
    <x:row r="5">
      <x:c r="A5" s="1" t="str">
        <x:v>LTM revenue to June 2026</x:v>
      </x:c>
      <x:c r="B5" s="10" t="n">
        <x:f>'Sources'!B7+'Sources'!B8-'Sources'!B9</x:f>
        <x:v>243.83299999999997</x:v>
      </x:c>
      <x:c r="C5" s="1"/>
      <x:c r="D5" s="9" t="n">
        <x:v>0.02</x:v>
      </x:c>
      <x:c r="E5" s="9" t="n">
        <x:v>0.03</x:v>
      </x:c>
      <x:c r="F5" s="9" t="n">
        <x:v>0.03</x:v>
      </x:c>
      <x:c r="G5" s="9" t="n">
        <x:v>0.03</x:v>
      </x:c>
      <x:c r="H5" s="9" t="n">
        <x:v>0.02</x:v>
      </x:c>
      <x:c r="I5" s="1"/>
      <x:c r="J5" s="1"/>
      <x:c r="K5" s="1"/>
      <x:c r="L5" s="1"/>
    </x:row>
    <x:row r="6">
      <x:c r="A6" s="1" t="str">
        <x:v>LTM operating income (normalized)</x:v>
      </x:c>
      <x:c r="B6" s="10" t="n">
        <x:f>'Sources'!B10+'Sources'!B11-'Sources'!B12-'Sources'!B13</x:f>
        <x:v>20.347999999999995</x:v>
      </x:c>
      <x:c r="C6" s="1"/>
      <x:c r="D6" s="9" t="n">
        <x:v>0.0835</x:v>
      </x:c>
      <x:c r="E6" s="9" t="n">
        <x:v>0.085</x:v>
      </x:c>
      <x:c r="F6" s="9" t="n">
        <x:v>0.0875</x:v>
      </x:c>
      <x:c r="G6" s="9" t="n">
        <x:v>0.09</x:v>
      </x:c>
      <x:c r="H6" s="9" t="n">
        <x:v>0.09</x:v>
      </x:c>
      <x:c r="I6" s="1"/>
      <x:c r="J6" s="1"/>
      <x:c r="K6" s="1"/>
      <x:c r="L6" s="1"/>
    </x:row>
    <x:row r="7">
      <x:c r="A7" s="1" t="str">
        <x:v>LTM operating margin</x:v>
      </x:c>
      <x:c r="B7" s="8" t="n">
        <x:f>B6/B5</x:f>
        <x:v>0.08345055837396906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1" t="str">
        <x:v>Target cash</x:v>
      </x:c>
      <x:c r="B8" s="10" t="n">
        <x:f>'Sources'!B14</x:f>
        <x:v>16.392</x:v>
      </x:c>
      <x:c r="C8" s="1" t="str">
        <x:v>  Revenue</x:v>
      </x:c>
      <x:c r="D8" s="6" t="n">
        <x:f>$B$5*(1+D5)</x:f>
        <x:v>248.70965999999999</x:v>
      </x:c>
      <x:c r="E8" s="6" t="n">
        <x:f>D8*(1+E5)</x:f>
        <x:v>256.1709498</x:v>
      </x:c>
      <x:c r="F8" s="6" t="n">
        <x:f>E8*(1+F5)</x:f>
        <x:v>263.85607829400004</x:v>
      </x:c>
      <x:c r="G8" s="6" t="n">
        <x:f>F8*(1+G5)</x:f>
        <x:v>271.77176064282</x:v>
      </x:c>
      <x:c r="H8" s="6" t="n">
        <x:f>G8*(1+H5)</x:f>
        <x:v>277.20719585567645</x:v>
      </x:c>
      <x:c r="I8" s="1"/>
      <x:c r="J8" s="1"/>
      <x:c r="K8" s="1"/>
      <x:c r="L8" s="1"/>
    </x:row>
    <x:row r="9">
      <x:c r="A9" s="1" t="str">
        <x:v>Target debt</x:v>
      </x:c>
      <x:c r="B9" s="10" t="n">
        <x:f>'Sources'!B15</x:f>
        <x:v>14.881</x:v>
      </x:c>
      <x:c r="C9" s="1" t="str">
        <x:v>  EBIT</x:v>
      </x:c>
      <x:c r="D9" s="6" t="n">
        <x:f>D8*D6</x:f>
        <x:v>20.76725661</x:v>
      </x:c>
      <x:c r="E9" s="6" t="n">
        <x:f>E8*E6</x:f>
        <x:v>21.774530733000002</x:v>
      </x:c>
      <x:c r="F9" s="6" t="n">
        <x:f>F8*F6</x:f>
        <x:v>23.087406850725003</x:v>
      </x:c>
      <x:c r="G9" s="6" t="n">
        <x:f>G8*G6</x:f>
        <x:v>24.459458457853803</x:v>
      </x:c>
      <x:c r="H9" s="6" t="n">
        <x:f>H8*H6</x:f>
        <x:v>24.948647627010878</x:v>
      </x:c>
      <x:c r="I9" s="1"/>
      <x:c r="J9" s="1"/>
      <x:c r="K9" s="1"/>
      <x:c r="L9" s="1"/>
    </x:row>
    <x:row r="10">
      <x:c r="A10" s="1" t="str">
        <x:v>October 22 share price</x:v>
      </x:c>
      <x:c r="B10" s="10" t="n">
        <x:f>'Sources'!B17</x:f>
        <x:v>18.89</x:v>
      </x:c>
      <x:c r="C10" s="1" t="str">
        <x:v>  Cash taxes</x:v>
      </x:c>
      <x:c r="D10" s="6" t="n">
        <x:f>MAX(D9,0)*$B$22</x:f>
        <x:v>5.1918141525</x:v>
      </x:c>
      <x:c r="E10" s="6" t="n">
        <x:f>MAX(E9,0)*$B$22</x:f>
        <x:v>5.443632683250001</x:v>
      </x:c>
      <x:c r="F10" s="6" t="n">
        <x:f>MAX(F9,0)*$B$22</x:f>
        <x:v>5.771851712681251</x:v>
      </x:c>
      <x:c r="G10" s="6" t="n">
        <x:f>MAX(G9,0)*$B$22</x:f>
        <x:v>6.114864614463451</x:v>
      </x:c>
      <x:c r="H10" s="6" t="n">
        <x:f>MAX(H9,0)*$B$22</x:f>
        <x:v>6.2371619067527195</x:v>
      </x:c>
      <x:c r="I10" s="1"/>
      <x:c r="J10" s="1"/>
      <x:c r="K10" s="1"/>
      <x:c r="L10" s="1"/>
    </x:row>
    <x:row r="11">
      <x:c r="A11" s="1" t="str">
        <x:v>Shares outstanding (millions)</x:v>
      </x:c>
      <x:c r="B11" s="10" t="n">
        <x:f>'Sources'!B16</x:f>
        <x:v>13.766074</x:v>
      </x:c>
      <x:c r="C11" s="1" t="str">
        <x:v>  D&amp;A added back</x:v>
      </x:c>
      <x:c r="D11" s="6" t="n">
        <x:f>D8*$B$23</x:f>
        <x:v>5.22290286</x:v>
      </x:c>
      <x:c r="E11" s="6" t="n">
        <x:f>E8*$B$23</x:f>
        <x:v>5.3795899458</x:v>
      </x:c>
      <x:c r="F11" s="6" t="n">
        <x:f>F8*$B$23</x:f>
        <x:v>5.540977644174001</x:v>
      </x:c>
      <x:c r="G11" s="6" t="n">
        <x:f>G8*$B$23</x:f>
        <x:v>5.707206973499221</x:v>
      </x:c>
      <x:c r="H11" s="6" t="n">
        <x:f>H8*$B$23</x:f>
        <x:v>5.8213511129692055</x:v>
      </x:c>
      <x:c r="I11" s="1"/>
      <x:c r="J11" s="1"/>
      <x:c r="K11" s="1"/>
      <x:c r="L11" s="1"/>
    </x:row>
    <x:row r="12">
      <x:c r="A12" s="1" t="str">
        <x:v>Indicative control premium</x:v>
      </x:c>
      <x:c r="B12" s="9" t="n">
        <x:v>0.25</x:v>
      </x:c>
      <x:c r="C12" s="1" t="str">
        <x:v>  Capex deducted</x:v>
      </x:c>
      <x:c r="D12" s="6" t="n">
        <x:f>D8*$B$24</x:f>
        <x:v>2.9845159199999998</x:v>
      </x:c>
      <x:c r="E12" s="6" t="n">
        <x:f>E8*$B$24</x:f>
        <x:v>3.0740513976000003</x:v>
      </x:c>
      <x:c r="F12" s="6" t="n">
        <x:f>F8*$B$24</x:f>
        <x:v>3.1662729395280005</x:v>
      </x:c>
      <x:c r="G12" s="6" t="n">
        <x:f>G8*$B$24</x:f>
        <x:v>3.2612611277138406</x:v>
      </x:c>
      <x:c r="H12" s="6" t="n">
        <x:f>H8*$B$24</x:f>
        <x:v>3.3264863502681172</x:v>
      </x:c>
      <x:c r="I12" s="1"/>
      <x:c r="J12" s="1"/>
      <x:c r="K12" s="1"/>
      <x:c r="L12" s="1"/>
    </x:row>
    <x:row r="13">
      <x:c r="A13" s="1" t="str">
        <x:v>Equity offer</x:v>
      </x:c>
      <x:c r="B13" s="6" t="n">
        <x:f>B10*B11*(1+B12)</x:f>
        <x:v>325.051422325</x:v>
      </x:c>
      <x:c r="C13" s="1" t="str">
        <x:v>  Incremental NWC investment</x:v>
      </x:c>
      <x:c r="D13" s="6" t="n">
        <x:f>(D8-$B$5)*$B$25</x:f>
        <x:v>0.7314990000000022</x:v>
      </x:c>
      <x:c r="E13" s="6" t="n">
        <x:f>(E8-D8)*$B$25</x:f>
        <x:v>1.1191934700000046</x:v>
      </x:c>
      <x:c r="F13" s="6" t="n">
        <x:f>(F8-E8)*$B$25</x:f>
        <x:v>1.1527692741000037</x:v>
      </x:c>
      <x:c r="G13" s="6" t="n">
        <x:f>(G8-F8)*$B$25</x:f>
        <x:v>1.1873523523229976</x:v>
      </x:c>
      <x:c r="H13" s="6" t="n">
        <x:f>(H8-G8)*$B$25</x:f>
        <x:v>0.8153152819284628</x:v>
      </x:c>
      <x:c r="I13" s="1"/>
      <x:c r="J13" s="1"/>
      <x:c r="K13" s="1"/>
      <x:c r="L13" s="1"/>
    </x:row>
    <x:row r="14">
      <x:c r="A14" s="1" t="str">
        <x:v>Assumed fees</x:v>
      </x:c>
      <x:c r="B14" s="7" t="n">
        <x:v>6</x:v>
      </x:c>
      <x:c r="C14" s="15" t="str">
        <x:v>  Unlevered FCF</x:v>
      </x:c>
      <x:c r="D14" s="16" t="n">
        <x:f>D9-D10+D11-D12-D13</x:f>
        <x:v>17.082330397499998</x:v>
      </x:c>
      <x:c r="E14" s="16" t="n">
        <x:f>E9-E10+E11-E12-E13</x:f>
        <x:v>17.517243127949992</x:v>
      </x:c>
      <x:c r="F14" s="16" t="n">
        <x:f>F9-F10+F11-F12-F13</x:f>
        <x:v>18.537490568589753</x:v>
      </x:c>
      <x:c r="G14" s="16" t="n">
        <x:f>G9-G10+G11-G12-G13</x:f>
        <x:v>19.603187336852738</x:v>
      </x:c>
      <x:c r="H14" s="16" t="n">
        <x:f>H9-H10+H11-H12-H13</x:f>
        <x:v>20.391035201030785</x:v>
      </x:c>
      <x:c r="I14" s="1"/>
      <x:c r="J14" s="1"/>
      <x:c r="K14" s="1"/>
      <x:c r="L14" s="1"/>
    </x:row>
    <x:row r="15">
      <x:c r="A15" s="1" t="str">
        <x:v>Stock share of equity offer</x:v>
      </x:c>
      <x:c r="B15" s="9" t="n">
        <x:v>0.6</x:v>
      </x:c>
      <x:c r="C15" s="1" t="str">
        <x:v>  Discount factor</x:v>
      </x:c>
      <x:c r="D15" s="12" t="n">
        <x:f>1/(1+$B$20)^1</x:f>
        <x:v>0.9009009009009008</x:v>
      </x:c>
      <x:c r="E15" s="12" t="n">
        <x:f>1/(1+$B$20)^2</x:f>
        <x:v>0.8116224332440547</x:v>
      </x:c>
      <x:c r="F15" s="12" t="n">
        <x:f>1/(1+$B$20)^3</x:f>
        <x:v>0.7311913813009502</x:v>
      </x:c>
      <x:c r="G15" s="12" t="n">
        <x:f>1/(1+$B$20)^4</x:f>
        <x:v>0.6587309741450001</x:v>
      </x:c>
      <x:c r="H15" s="12" t="n">
        <x:f>1/(1+$B$20)^5</x:f>
        <x:v>0.5934513280585586</x:v>
      </x:c>
      <x:c r="I15" s="1"/>
      <x:c r="J15" s="1"/>
      <x:c r="K15" s="1"/>
      <x:c r="L15" s="1"/>
    </x:row>
    <x:row r="16">
      <x:c r="A16" s="1" t="str">
        <x:v>Enterprise offer</x:v>
      </x:c>
      <x:c r="B16" s="6" t="n">
        <x:f>B13+B9-B8</x:f>
        <x:v>323.54042232499995</x:v>
      </x:c>
      <x:c r="C16" s="1" t="str">
        <x:v>  Present value of FCF</x:v>
      </x:c>
      <x:c r="D16" s="6" t="n">
        <x:f>D14*D15</x:f>
        <x:v>15.389486844594591</x:v>
      </x:c>
      <x:c r="E16" s="6" t="n">
        <x:f>E14*E15</x:f>
        <x:v>14.217387491234469</x:v>
      </x:c>
      <x:c r="F16" s="6" t="n">
        <x:f>F14*F15</x:f>
        <x:v>13.554453334700478</x:v>
      </x:c>
      <x:c r="G16" s="6" t="n">
        <x:f>G14*G15</x:f>
        <x:v>12.913226690751936</x:v>
      </x:c>
      <x:c r="H16" s="6" t="n">
        <x:f>H14*H15</x:f>
        <x:v>12.101086920540537</x:v>
      </x:c>
      <x:c r="I16" s="1"/>
      <x:c r="J16" s="1"/>
      <x:c r="K16" s="1"/>
      <x:c r="L16" s="1"/>
    </x:row>
    <x:row r="17">
      <x:c r="A17" s="1" t="str">
        <x:v>Cash paid to sellers</x:v>
      </x:c>
      <x:c r="B17" s="6" t="n">
        <x:f>B13*(1-B15)</x:f>
        <x:v>130.02056893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 t="str">
        <x:v>Stock issued to sellers</x:v>
      </x:c>
      <x:c r="B18" s="6" t="n">
        <x:f>B13*B15</x:f>
        <x:v>195.03085339499998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 t="str">
        <x:v>UA closing cash after deal</x:v>
      </x:c>
      <x:c r="B19" s="6" t="n">
        <x:f>'Sources'!B4+B8-B17-B9-B14</x:f>
        <x:v>261.47143107</x:v>
      </x:c>
      <x:c r="C19" s="1"/>
      <x:c r="D19" s="17" t="str">
        <x:v>Sensitivity: standalone EV by WACC and terminal growth</x:v>
      </x:c>
      <x:c r="E19" s="17"/>
      <x:c r="F19" s="17"/>
      <x:c r="G19" s="17"/>
      <x:c r="H19" s="17"/>
      <x:c r="I19" s="1"/>
      <x:c r="J19" s="1"/>
      <x:c r="K19" s="1"/>
      <x:c r="L19" s="1"/>
    </x:row>
    <x:row r="20">
      <x:c r="A20" s="1" t="str">
        <x:v>Assumed WACC</x:v>
      </x:c>
      <x:c r="B20" s="9" t="n">
        <x:v>0.11</x:v>
      </x:c>
      <x:c r="C20" s="1" t="str">
        <x:v>WACC / g</x:v>
      </x:c>
      <x:c r="D20" s="8" t="n">
        <x:v>0.015</x:v>
      </x:c>
      <x:c r="E20" s="8" t="n">
        <x:v>0.02</x:v>
      </x:c>
      <x:c r="F20" s="8" t="n">
        <x:v>0.025</x:v>
      </x:c>
      <x:c r="G20" s="8" t="n">
        <x:v>0.03</x:v>
      </x:c>
      <x:c r="H20" s="8" t="n">
        <x:v>0.035</x:v>
      </x:c>
      <x:c r="I20" s="1"/>
      <x:c r="J20" s="1"/>
      <x:c r="K20" s="1"/>
      <x:c r="L20" s="1"/>
    </x:row>
    <x:row r="21">
      <x:c r="A21" s="1" t="str">
        <x:v>Assumed terminal growth</x:v>
      </x:c>
      <x:c r="B21" s="9" t="n">
        <x:v>0.025</x:v>
      </x:c>
      <x:c r="C21" s="8" t="n">
        <x:v>0.09</x:v>
      </x:c>
      <x:c r="D21" s="6" t="n">
        <x:f>D14/(1+$C21)^1+E14/(1+$C21)^2+F14/(1+$C21)^3+G14/(1+$C21)^4+H14/(1+$C21)^5+($H$14*(1+D$20)/($C21-D$20))/(1+$C21)^5</x:f>
        <x:v>251.22449081520267</x:v>
      </x:c>
      <x:c r="E21" s="6" t="n">
        <x:f>D14/(1+$C21)^1+E14/(1+$C21)^2+F14/(1+$C21)^3+G14/(1+$C21)^4+H14/(1+$C21)^5+($H$14*(1+E$20)/($C21-E$20))/(1+$C21)^5</x:f>
        <x:v>264.9821321638961</x:v>
      </x:c>
      <x:c r="F21" s="6" t="n">
        <x:f>D14/(1+$C21)^1+E14/(1+$C21)^2+F14/(1+$C21)^3+G14/(1+$C21)^4+H14/(1+$C21)^5+($H$14*(1+F$20)/($C21-F$20))/(1+$C21)^5</x:f>
        <x:v>280.8563337200808</x:v>
      </x:c>
      <x:c r="G21" s="6" t="n">
        <x:f>D14/(1+$C21)^1+E14/(1+$C21)^2+F14/(1+$C21)^3+G14/(1+$C21)^4+H14/(1+$C21)^5+($H$14*(1+G$20)/($C21-G$20))/(1+$C21)^5</x:f>
        <x:v>299.37623553562963</x:v>
      </x:c>
      <x:c r="H21" s="6" t="n">
        <x:f>D14/(1+$C21)^1+E14/(1+$C21)^2+F14/(1+$C21)^3+G14/(1+$C21)^4+H14/(1+$C21)^5+($H$14*(1+H$20)/($C21-H$20))/(1+$C21)^5</x:f>
        <x:v>321.2633922267328</x:v>
      </x:c>
      <x:c r="I21" s="1"/>
      <x:c r="J21" s="1"/>
      <x:c r="K21" s="1"/>
      <x:c r="L21" s="1"/>
    </x:row>
    <x:row r="22">
      <x:c r="A22" s="1" t="str">
        <x:v>Cash tax assumption</x:v>
      </x:c>
      <x:c r="B22" s="9" t="n">
        <x:v>0.25</x:v>
      </x:c>
      <x:c r="C22" s="8" t="n">
        <x:v>0.1</x:v>
      </x:c>
      <x:c r="D22" s="6" t="n">
        <x:f>D14/(1+$C22)^1+E14/(1+$C22)^2+F14/(1+$C22)^3+G14/(1+$C22)^4+H14/(1+$C22)^5+($H$14*(1+D$20)/($C22-D$20))/(1+$C22)^5</x:f>
        <x:v>221.1743765337245</x:v>
      </x:c>
      <x:c r="E22" s="6" t="n">
        <x:f>D14/(1+$C22)^1+E14/(1+$C22)^2+F14/(1+$C22)^3+G14/(1+$C22)^4+H14/(1+$C22)^5+($H$14*(1+E$20)/($C22-E$20))/(1+$C22)^5</x:f>
        <x:v>231.41507610072955</x:v>
      </x:c>
      <x:c r="F22" s="6" t="n">
        <x:f>D14/(1+$C22)^1+E14/(1+$C22)^2+F14/(1+$C22)^3+G14/(1+$C22)^4+H14/(1+$C22)^5+($H$14*(1+F$20)/($C22-F$20))/(1+$C22)^5</x:f>
        <x:v>243.02120227666853</x:v>
      </x:c>
      <x:c r="G22" s="6" t="n">
        <x:f>D14/(1+$C22)^1+E14/(1+$C22)^2+F14/(1+$C22)^3+G14/(1+$C22)^4+H14/(1+$C22)^5+($H$14*(1+G$20)/($C22-G$20))/(1+$C22)^5</x:f>
        <x:v>256.2853464777417</x:v>
      </x:c>
      <x:c r="H22" s="6" t="n">
        <x:f>D14/(1+$C22)^1+E14/(1+$C22)^2+F14/(1+$C22)^3+G14/(1+$C22)^4+H14/(1+$C22)^5+($H$14*(1+H$20)/($C22-H$20))/(1+$C22)^5</x:f>
        <x:v>271.59012824821076</x:v>
      </x:c>
      <x:c r="I22" s="1"/>
      <x:c r="J22" s="1"/>
      <x:c r="K22" s="1"/>
      <x:c r="L22" s="1"/>
    </x:row>
    <x:row r="23">
      <x:c r="A23" s="1" t="str">
        <x:v>D&amp;A / revenue assumption</x:v>
      </x:c>
      <x:c r="B23" s="9" t="n">
        <x:v>0.021</x:v>
      </x:c>
      <x:c r="C23" s="8" t="n">
        <x:v>0.11</x:v>
      </x:c>
      <x:c r="D23" s="6" t="n">
        <x:f>D14/(1+$C23)^1+E14/(1+$C23)^2+F14/(1+$C23)^3+G14/(1+$C23)^4+H14/(1+$C23)^5+($H$14*(1+D$20)/($C23-D$20))/(1+$C23)^5</x:f>
        <x:v>197.46620153812353</x:v>
      </x:c>
      <x:c r="E23" s="6" t="n">
        <x:f>D14/(1+$C23)^1+E14/(1+$C23)^2+F14/(1+$C23)^3+G14/(1+$C23)^4+H14/(1+$C23)^5+($H$14*(1+E$20)/($C23-E$20))/(1+$C23)^5</x:f>
        <x:v>205.32129304794807</x:v>
      </x:c>
      <x:c r="F23" s="19" t="n">
        <x:f>D14/(1+$C23)^1+E14/(1+$C23)^2+F14/(1+$C23)^3+G14/(1+$C23)^4+H14/(1+$C23)^5+($H$14*(1+F$20)/($C23-F$20))/(1+$C23)^5</x:f>
        <x:v>214.10051297069316</x:v>
      </x:c>
      <x:c r="G23" s="6" t="n">
        <x:f>D14/(1+$C23)^1+E14/(1+$C23)^2+F14/(1+$C23)^3+G14/(1+$C23)^4+H14/(1+$C23)^5+($H$14*(1+G$20)/($C23-G$20))/(1+$C23)^5</x:f>
        <x:v>223.9771353837814</x:v>
      </x:c>
      <x:c r="H23" s="6" t="n">
        <x:f>D14/(1+$C23)^1+E14/(1+$C23)^2+F14/(1+$C23)^3+G14/(1+$C23)^4+H14/(1+$C23)^5+($H$14*(1+H$20)/($C23-H$20))/(1+$C23)^5</x:f>
        <x:v>235.1706407852814</x:v>
      </x:c>
      <x:c r="I23" s="1"/>
      <x:c r="J23" s="1"/>
      <x:c r="K23" s="1"/>
      <x:c r="L23" s="1"/>
    </x:row>
    <x:row r="24">
      <x:c r="A24" s="1" t="str">
        <x:v>Capex / revenue assumption</x:v>
      </x:c>
      <x:c r="B24" s="9" t="n">
        <x:v>0.012</x:v>
      </x:c>
      <x:c r="C24" s="8" t="n">
        <x:v>0.12</x:v>
      </x:c>
      <x:c r="D24" s="6" t="n">
        <x:f>D14/(1+$C24)^1+E14/(1+$C24)^2+F14/(1+$C24)^3+G14/(1+$C24)^4+H14/(1+$C24)^5+($H$14*(1+D$20)/($C24-D$20))/(1+$C24)^5</x:f>
        <x:v>178.28734314523132</x:v>
      </x:c>
      <x:c r="E24" s="6" t="n">
        <x:f>D14/(1+$C24)^1+E14/(1+$C24)^2+F14/(1+$C24)^3+G14/(1+$C24)^4+H14/(1+$C24)^5+($H$14*(1+E$20)/($C24-E$20))/(1+$C24)^5</x:f>
        <x:v>184.45823433934768</x:v>
      </x:c>
      <x:c r="F24" s="6" t="n">
        <x:f>D14/(1+$C24)^1+E14/(1+$C24)^2+F14/(1+$C24)^3+G14/(1+$C24)^4+H14/(1+$C24)^5+($H$14*(1+F$20)/($C24-F$20))/(1+$C24)^5</x:f>
        <x:v>191.27869302758154</x:v>
      </x:c>
      <x:c r="G24" s="6" t="n">
        <x:f>D14/(1+$C24)^1+E14/(1+$C24)^2+F14/(1+$C24)^3+G14/(1+$C24)^4+H14/(1+$C24)^5+($H$14*(1+G$20)/($C24-G$20))/(1+$C24)^5</x:f>
        <x:v>198.8569804589525</x:v>
      </x:c>
      <x:c r="H24" s="6" t="n">
        <x:f>D14/(1+$C24)^1+E14/(1+$C24)^2+F14/(1+$C24)^3+G14/(1+$C24)^4+H14/(1+$C24)^5+($H$14*(1+H$20)/($C24-H$20))/(1+$C24)^5</x:f>
        <x:v>207.32683111754358</x:v>
      </x:c>
      <x:c r="I24" s="1"/>
      <x:c r="J24" s="1"/>
      <x:c r="K24" s="1"/>
      <x:c r="L24" s="1"/>
    </x:row>
    <x:row r="25">
      <x:c r="A25" s="1" t="str">
        <x:v>NWC investment / new revenue</x:v>
      </x:c>
      <x:c r="B25" s="9" t="n">
        <x:v>0.15</x:v>
      </x:c>
      <x:c r="C25" s="8" t="n">
        <x:v>0.13</x:v>
      </x:c>
      <x:c r="D25" s="6" t="n">
        <x:f>D14/(1+$C25)^1+E14/(1+$C25)^2+F14/(1+$C25)^3+G14/(1+$C25)^4+H14/(1+$C25)^5+($H$14*(1+D$20)/($C25-D$20))/(1+$C25)^5</x:f>
        <x:v>162.4556881280531</x:v>
      </x:c>
      <x:c r="E25" s="6" t="n">
        <x:f>D14/(1+$C25)^1+E14/(1+$C25)^2+F14/(1+$C25)^3+G14/(1+$C25)^4+H14/(1+$C25)^5+($H$14*(1+E$20)/($C25-E$20))/(1+$C25)^5</x:f>
        <x:v>167.39885167175333</x:v>
      </x:c>
      <x:c r="F25" s="6" t="n">
        <x:f>D14/(1+$C25)^1+E14/(1+$C25)^2+F14/(1+$C25)^3+G14/(1+$C25)^4+H14/(1+$C25)^5+($H$14*(1+F$20)/($C25-F$20))/(1+$C25)^5</x:f>
        <x:v>172.81279269580597</x:v>
      </x:c>
      <x:c r="G25" s="6" t="n">
        <x:f>D14/(1+$C25)^1+E14/(1+$C25)^2+F14/(1+$C25)^3+G14/(1+$C25)^4+H14/(1+$C25)^5+($H$14*(1+G$20)/($C25-G$20))/(1+$C25)^5</x:f>
        <x:v>178.76812782226386</x:v>
      </x:c>
      <x:c r="H25" s="6" t="n">
        <x:f>D14/(1+$C25)^1+E14/(1+$C25)^2+F14/(1+$C25)^3+G14/(1+$C25)^4+H14/(1+$C25)^5+($H$14*(1+H$20)/($C25-H$20))/(1+$C25)^5</x:f>
        <x:v>185.35034033045417</x:v>
      </x:c>
      <x:c r="I25" s="1"/>
      <x:c r="J25" s="1"/>
      <x:c r="K25" s="1"/>
      <x:c r="L25" s="1"/>
    </x:row>
    <x:row r="26">
      <x:c r="A26" s="1"/>
      <x:c r="B26" s="6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 t="str">
        <x:v>PV explicit cash flows</x:v>
      </x:c>
      <x:c r="B27" s="6" t="n">
        <x:f>SUM(D16:H16)</x:f>
        <x:v>68.17564128182201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 t="str">
        <x:v>Terminal value at end of Year 5</x:v>
      </x:c>
      <x:c r="B28" s="6" t="n">
        <x:f>H14*(1+B21)/(B20-B21)</x:f>
        <x:v>245.89189507125357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 t="str">
        <x:v>PV terminal value</x:v>
      </x:c>
      <x:c r="B29" s="6" t="n">
        <x:f>B28*H15</x:f>
        <x:v>145.92487168887118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5" t="str">
        <x:v>Standalone operating EV</x:v>
      </x:c>
      <x:c r="B30" s="16" t="n">
        <x:f>B27+B29</x:f>
        <x:v>214.1005129706932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5" t="str">
        <x:v>Standalone equity value</x:v>
      </x:c>
      <x:c r="B31" s="16" t="n">
        <x:f>B30-B9+B8</x:f>
        <x:v>215.61151297069318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5" t="str">
        <x:v>Standalone EV less offer EV</x:v>
      </x:c>
      <x:c r="B32" s="16" t="n">
        <x:f>B30-B16</x:f>
        <x:v>-109.43990935430676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 t="str">
        <x:v>Tariff recovery of $9.875m removed from LTM operating income.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 t="str">
        <x:v>Assumptions are team illustrations; no management forecast, purchase accounting or synergies.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 t="str">
        <x:v>FCF is discounted at year end; terminal FCF grows at g; WACC and g are assumptions.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 t="str">
        <x:v>NWC is modeled only on incremental revenue; decline releases working capital.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 t="str">
        <x:v>Offer EV excludes transaction fees; closing cash includes target cash and debt repayment.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17" hidden="0" customWidth="1"/>
    <x:col min="3" max="3" width="2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3" t="str">
        <x:v>FitLife | standalone DCF and illustrative offer</x:v>
      </x:c>
      <x:c r="B1" s="3"/>
      <x:c r="C1" s="3"/>
      <x:c r="D1" s="3"/>
      <x:c r="E1" s="3"/>
      <x:c r="F1" s="3"/>
      <x:c r="G1" s="3"/>
      <x:c r="H1" s="3"/>
      <x:c r="I1" s="1"/>
      <x:c r="J1" s="1"/>
      <x:c r="K1" s="1"/>
      <x:c r="L1" s="1"/>
    </x:row>
    <x:row r="2">
      <x:c r="A2" s="1" t="str">
        <x:v>USD millions; Oct 22, 2026 information cut-off; rolling years after June 2026 LTM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5" customHeight="1">
      <x:c r="A4" s="3" t="str">
        <x:v>Historical base and deal assumptions</x:v>
      </x:c>
      <x:c r="B4" s="3"/>
      <x:c r="C4" s="1"/>
      <x:c r="D4" s="5" t="str">
        <x:v>Year 1</x:v>
      </x:c>
      <x:c r="E4" s="5" t="str">
        <x:v>Year 2</x:v>
      </x:c>
      <x:c r="F4" s="5" t="str">
        <x:v>Year 3</x:v>
      </x:c>
      <x:c r="G4" s="5" t="str">
        <x:v>Year 4</x:v>
      </x:c>
      <x:c r="H4" s="5" t="str">
        <x:v>Year 5</x:v>
      </x:c>
      <x:c r="I4" s="1"/>
      <x:c r="J4" s="1"/>
      <x:c r="K4" s="1"/>
      <x:c r="L4" s="1"/>
    </x:row>
    <x:row r="5">
      <x:c r="A5" s="1" t="str">
        <x:v>LTM revenue to June 2026</x:v>
      </x:c>
      <x:c r="B5" s="10" t="n">
        <x:f>'Sources'!B25+'Sources'!B26-'Sources'!B27</x:f>
        <x:v>101.26899999999999</x:v>
      </x:c>
      <x:c r="C5" s="1"/>
      <x:c r="D5" s="9" t="n">
        <x:v>0.03</x:v>
      </x:c>
      <x:c r="E5" s="9" t="n">
        <x:v>0.05</x:v>
      </x:c>
      <x:c r="F5" s="9" t="n">
        <x:v>0.05</x:v>
      </x:c>
      <x:c r="G5" s="9" t="n">
        <x:v>0.04</x:v>
      </x:c>
      <x:c r="H5" s="9" t="n">
        <x:v>0.03</x:v>
      </x:c>
      <x:c r="I5" s="1"/>
      <x:c r="J5" s="1"/>
      <x:c r="K5" s="1"/>
      <x:c r="L5" s="1"/>
    </x:row>
    <x:row r="6">
      <x:c r="A6" s="1" t="str">
        <x:v>LTM operating income (normalized)</x:v>
      </x:c>
      <x:c r="B6" s="10" t="n">
        <x:f>'Sources'!B28+'Sources'!B29-'Sources'!B30</x:f>
        <x:v>11.002000000000002</x:v>
      </x:c>
      <x:c r="C6" s="1"/>
      <x:c r="D6" s="9" t="n">
        <x:v>0.11</x:v>
      </x:c>
      <x:c r="E6" s="9" t="n">
        <x:v>0.112</x:v>
      </x:c>
      <x:c r="F6" s="9" t="n">
        <x:v>0.115</x:v>
      </x:c>
      <x:c r="G6" s="9" t="n">
        <x:v>0.118</x:v>
      </x:c>
      <x:c r="H6" s="9" t="n">
        <x:v>0.12</x:v>
      </x:c>
      <x:c r="I6" s="1"/>
      <x:c r="J6" s="1"/>
      <x:c r="K6" s="1"/>
      <x:c r="L6" s="1"/>
    </x:row>
    <x:row r="7">
      <x:c r="A7" s="1" t="str">
        <x:v>LTM operating margin</x:v>
      </x:c>
      <x:c r="B7" s="8" t="n">
        <x:f>B6/B5</x:f>
        <x:v>0.1086413413779143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1" t="str">
        <x:v>Target cash</x:v>
      </x:c>
      <x:c r="B8" s="10" t="n">
        <x:f>'Sources'!B31</x:f>
        <x:v>1.089</x:v>
      </x:c>
      <x:c r="C8" s="1" t="str">
        <x:v>  Revenue</x:v>
      </x:c>
      <x:c r="D8" s="6" t="n">
        <x:f>$B$5*(1+D5)</x:f>
        <x:v>104.30707</x:v>
      </x:c>
      <x:c r="E8" s="6" t="n">
        <x:f>D8*(1+E5)</x:f>
        <x:v>109.5224235</x:v>
      </x:c>
      <x:c r="F8" s="6" t="n">
        <x:f>E8*(1+F5)</x:f>
        <x:v>114.998544675</x:v>
      </x:c>
      <x:c r="G8" s="6" t="n">
        <x:f>F8*(1+G5)</x:f>
        <x:v>119.59848646200001</x:v>
      </x:c>
      <x:c r="H8" s="6" t="n">
        <x:f>G8*(1+H5)</x:f>
        <x:v>123.18644105586002</x:v>
      </x:c>
      <x:c r="I8" s="1"/>
      <x:c r="J8" s="1"/>
      <x:c r="K8" s="1"/>
      <x:c r="L8" s="1"/>
    </x:row>
    <x:row r="9">
      <x:c r="A9" s="1" t="str">
        <x:v>Target debt</x:v>
      </x:c>
      <x:c r="B9" s="10" t="n">
        <x:f>'Sources'!B32</x:f>
        <x:v>38.1</x:v>
      </x:c>
      <x:c r="C9" s="1" t="str">
        <x:v>  EBIT</x:v>
      </x:c>
      <x:c r="D9" s="6" t="n">
        <x:f>D8*D6</x:f>
        <x:v>11.4737777</x:v>
      </x:c>
      <x:c r="E9" s="6" t="n">
        <x:f>E8*E6</x:f>
        <x:v>12.266511432</x:v>
      </x:c>
      <x:c r="F9" s="6" t="n">
        <x:f>F8*F6</x:f>
        <x:v>13.224832637625001</x:v>
      </x:c>
      <x:c r="G9" s="6" t="n">
        <x:f>G8*G6</x:f>
        <x:v>14.112621402516</x:v>
      </x:c>
      <x:c r="H9" s="6" t="n">
        <x:f>H8*H6</x:f>
        <x:v>14.782372926703202</x:v>
      </x:c>
      <x:c r="I9" s="1"/>
      <x:c r="J9" s="1"/>
      <x:c r="K9" s="1"/>
      <x:c r="L9" s="1"/>
    </x:row>
    <x:row r="10">
      <x:c r="A10" s="1" t="str">
        <x:v>October 22 common equity cap</x:v>
      </x:c>
      <x:c r="B10" s="10" t="n">
        <x:f>'Sources'!B33</x:f>
        <x:v>77.62</x:v>
      </x:c>
      <x:c r="C10" s="1" t="str">
        <x:v>  Cash taxes</x:v>
      </x:c>
      <x:c r="D10" s="6" t="n">
        <x:f>MAX(D9,0)*$B$22</x:f>
        <x:v>2.868444425</x:v>
      </x:c>
      <x:c r="E10" s="6" t="n">
        <x:f>MAX(E9,0)*$B$22</x:f>
        <x:v>3.066627858</x:v>
      </x:c>
      <x:c r="F10" s="6" t="n">
        <x:f>MAX(F9,0)*$B$22</x:f>
        <x:v>3.3062081594062502</x:v>
      </x:c>
      <x:c r="G10" s="6" t="n">
        <x:f>MAX(G9,0)*$B$22</x:f>
        <x:v>3.528155350629</x:v>
      </x:c>
      <x:c r="H10" s="6" t="n">
        <x:f>MAX(H9,0)*$B$22</x:f>
        <x:v>3.6955932316758004</x:v>
      </x:c>
      <x:c r="I10" s="1"/>
      <x:c r="J10" s="1"/>
      <x:c r="K10" s="1"/>
      <x:c r="L10" s="1"/>
    </x:row>
    <x:row r="11">
      <x:c r="A11" s="1" t="str">
        <x:v>Shares (not used: quote is equity cap)</x:v>
      </x:c>
      <x:c r="B11" s="10"/>
      <x:c r="C11" s="1" t="str">
        <x:v>  D&amp;A added back</x:v>
      </x:c>
      <x:c r="D11" s="6" t="n">
        <x:f>D8*$B$23</x:f>
        <x:v>1.0430707</x:v>
      </x:c>
      <x:c r="E11" s="6" t="n">
        <x:f>E8*$B$23</x:f>
        <x:v>1.095224235</x:v>
      </x:c>
      <x:c r="F11" s="6" t="n">
        <x:f>F8*$B$23</x:f>
        <x:v>1.1499854467500001</x:v>
      </x:c>
      <x:c r="G11" s="6" t="n">
        <x:f>G8*$B$23</x:f>
        <x:v>1.1959848646200002</x:v>
      </x:c>
      <x:c r="H11" s="6" t="n">
        <x:f>H8*$B$23</x:f>
        <x:v>1.2318644105586</x:v>
      </x:c>
      <x:c r="I11" s="1"/>
      <x:c r="J11" s="1"/>
      <x:c r="K11" s="1"/>
      <x:c r="L11" s="1"/>
    </x:row>
    <x:row r="12">
      <x:c r="A12" s="1" t="str">
        <x:v>Indicative control premium</x:v>
      </x:c>
      <x:c r="B12" s="9" t="n">
        <x:v>0.25</x:v>
      </x:c>
      <x:c r="C12" s="1" t="str">
        <x:v>  Capex deducted</x:v>
      </x:c>
      <x:c r="D12" s="6" t="n">
        <x:f>D8*$B$24</x:f>
        <x:v>0.52153535</x:v>
      </x:c>
      <x:c r="E12" s="6" t="n">
        <x:f>E8*$B$24</x:f>
        <x:v>0.5476121175</x:v>
      </x:c>
      <x:c r="F12" s="6" t="n">
        <x:f>F8*$B$24</x:f>
        <x:v>0.5749927233750001</x:v>
      </x:c>
      <x:c r="G12" s="6" t="n">
        <x:f>G8*$B$24</x:f>
        <x:v>0.5979924323100001</x:v>
      </x:c>
      <x:c r="H12" s="6" t="n">
        <x:f>H8*$B$24</x:f>
        <x:v>0.6159322052793</x:v>
      </x:c>
      <x:c r="I12" s="1"/>
      <x:c r="J12" s="1"/>
      <x:c r="K12" s="1"/>
      <x:c r="L12" s="1"/>
    </x:row>
    <x:row r="13">
      <x:c r="A13" s="1" t="str">
        <x:v>Equity offer</x:v>
      </x:c>
      <x:c r="B13" s="6" t="n">
        <x:f>B10*(1+B12)</x:f>
        <x:v>97.025</x:v>
      </x:c>
      <x:c r="C13" s="1" t="str">
        <x:v>  Incremental NWC investment</x:v>
      </x:c>
      <x:c r="D13" s="6" t="n">
        <x:f>(D8-$B$5)*$B$25</x:f>
        <x:v>0.36456840000000057</x:v>
      </x:c>
      <x:c r="E13" s="6" t="n">
        <x:f>(E8-D8)*$B$25</x:f>
        <x:v>0.6258424200000007</x:v>
      </x:c>
      <x:c r="F13" s="6" t="n">
        <x:f>(F8-E8)*$B$25</x:f>
        <x:v>0.6571345410000003</x:v>
      </x:c>
      <x:c r="G13" s="6" t="n">
        <x:f>(G8-F8)*$B$25</x:f>
        <x:v>0.5519930144400007</x:v>
      </x:c>
      <x:c r="H13" s="6" t="n">
        <x:f>(H8-G8)*$B$25</x:f>
        <x:v>0.4305545512632005</x:v>
      </x:c>
      <x:c r="I13" s="1"/>
      <x:c r="J13" s="1"/>
      <x:c r="K13" s="1"/>
      <x:c r="L13" s="1"/>
    </x:row>
    <x:row r="14">
      <x:c r="A14" s="1" t="str">
        <x:v>Assumed fees</x:v>
      </x:c>
      <x:c r="B14" s="7" t="n">
        <x:v>4</x:v>
      </x:c>
      <x:c r="C14" s="15" t="str">
        <x:v>  Unlevered FCF</x:v>
      </x:c>
      <x:c r="D14" s="16" t="n">
        <x:f>D9-D10+D11-D12-D13</x:f>
        <x:v>8.762300224999997</x:v>
      </x:c>
      <x:c r="E14" s="16" t="n">
        <x:f>E9-E10+E11-E12-E13</x:f>
        <x:v>9.121653271499998</x:v>
      </x:c>
      <x:c r="F14" s="16" t="n">
        <x:f>F9-F10+F11-F12-F13</x:f>
        <x:v>9.83648266059375</x:v>
      </x:c>
      <x:c r="G14" s="16" t="n">
        <x:f>G9-G10+G11-G12-G13</x:f>
        <x:v>10.630465469756999</x:v>
      </x:c>
      <x:c r="H14" s="16" t="n">
        <x:f>H9-H10+H11-H12-H13</x:f>
        <x:v>11.2721573490435</x:v>
      </x:c>
      <x:c r="I14" s="1"/>
      <x:c r="J14" s="1"/>
      <x:c r="K14" s="1"/>
      <x:c r="L14" s="1"/>
    </x:row>
    <x:row r="15">
      <x:c r="A15" s="1" t="str">
        <x:v>Stock share of equity offer</x:v>
      </x:c>
      <x:c r="B15" s="9" t="n">
        <x:v>0.5</x:v>
      </x:c>
      <x:c r="C15" s="1" t="str">
        <x:v>  Discount factor</x:v>
      </x:c>
      <x:c r="D15" s="12" t="n">
        <x:f>1/(1+$B$20)^1</x:f>
        <x:v>0.8928571428571428</x:v>
      </x:c>
      <x:c r="E15" s="12" t="n">
        <x:f>1/(1+$B$20)^2</x:f>
        <x:v>0.7971938775510203</x:v>
      </x:c>
      <x:c r="F15" s="12" t="n">
        <x:f>1/(1+$B$20)^3</x:f>
        <x:v>0.7117802478134109</x:v>
      </x:c>
      <x:c r="G15" s="12" t="n">
        <x:f>1/(1+$B$20)^4</x:f>
        <x:v>0.6355180784048311</x:v>
      </x:c>
      <x:c r="H15" s="12" t="n">
        <x:f>1/(1+$B$20)^5</x:f>
        <x:v>0.5674268557185992</x:v>
      </x:c>
      <x:c r="I15" s="1"/>
      <x:c r="J15" s="1"/>
      <x:c r="K15" s="1"/>
      <x:c r="L15" s="1"/>
    </x:row>
    <x:row r="16">
      <x:c r="A16" s="1" t="str">
        <x:v>Enterprise offer</x:v>
      </x:c>
      <x:c r="B16" s="6" t="n">
        <x:f>B13+B9-B8</x:f>
        <x:v>134.036</x:v>
      </x:c>
      <x:c r="C16" s="1" t="str">
        <x:v>  Present value of FCF</x:v>
      </x:c>
      <x:c r="D16" s="6" t="n">
        <x:f>D14*D15</x:f>
        <x:v>7.823482343749997</x:v>
      </x:c>
      <x:c r="E16" s="6" t="n">
        <x:f>E14*E15</x:f>
        <x:v>7.271726141183033</x:v>
      </x:c>
      <x:c r="F16" s="6" t="n">
        <x:f>F14*F15</x:f>
        <x:v>7.001414065769739</x:v>
      </x:c>
      <x:c r="G16" s="6" t="n">
        <x:f>G14*G15</x:f>
        <x:v>6.755852987888878</x:v>
      </x:c>
      <x:c r="H16" s="6" t="n">
        <x:f>H14*H15</x:f>
        <x:v>6.396124801733054</x:v>
      </x:c>
      <x:c r="I16" s="1"/>
      <x:c r="J16" s="1"/>
      <x:c r="K16" s="1"/>
      <x:c r="L16" s="1"/>
    </x:row>
    <x:row r="17">
      <x:c r="A17" s="1" t="str">
        <x:v>Cash paid to sellers</x:v>
      </x:c>
      <x:c r="B17" s="6" t="n">
        <x:f>B13*(1-B15)</x:f>
        <x:v>48.5125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 t="str">
        <x:v>Stock issued to sellers</x:v>
      </x:c>
      <x:c r="B18" s="6" t="n">
        <x:f>B13*B15</x:f>
        <x:v>48.5125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 t="str">
        <x:v>UA closing cash after deal</x:v>
      </x:c>
      <x:c r="B19" s="6" t="n">
        <x:f>'Sources'!B4+B8-B17-B9-B14</x:f>
        <x:v>306.4575</x:v>
      </x:c>
      <x:c r="C19" s="1"/>
      <x:c r="D19" s="17" t="str">
        <x:v>Sensitivity: standalone EV by WACC and terminal growth</x:v>
      </x:c>
      <x:c r="E19" s="17"/>
      <x:c r="F19" s="17"/>
      <x:c r="G19" s="17"/>
      <x:c r="H19" s="17"/>
      <x:c r="I19" s="1"/>
      <x:c r="J19" s="1"/>
      <x:c r="K19" s="1"/>
      <x:c r="L19" s="1"/>
    </x:row>
    <x:row r="20">
      <x:c r="A20" s="1" t="str">
        <x:v>Assumed WACC</x:v>
      </x:c>
      <x:c r="B20" s="9" t="n">
        <x:v>0.12</x:v>
      </x:c>
      <x:c r="C20" s="1" t="str">
        <x:v>WACC / g</x:v>
      </x:c>
      <x:c r="D20" s="8" t="n">
        <x:v>0.015</x:v>
      </x:c>
      <x:c r="E20" s="8" t="n">
        <x:v>0.02</x:v>
      </x:c>
      <x:c r="F20" s="8" t="n">
        <x:v>0.025</x:v>
      </x:c>
      <x:c r="G20" s="8" t="n">
        <x:v>0.03</x:v>
      </x:c>
      <x:c r="H20" s="8" t="n">
        <x:v>0.035</x:v>
      </x:c>
      <x:c r="I20" s="1"/>
      <x:c r="J20" s="1"/>
      <x:c r="K20" s="1"/>
      <x:c r="L20" s="1"/>
    </x:row>
    <x:row r="21">
      <x:c r="A21" s="1" t="str">
        <x:v>Assumed terminal growth</x:v>
      </x:c>
      <x:c r="B21" s="9" t="n">
        <x:v>0.025</x:v>
      </x:c>
      <x:c r="C21" s="8" t="n">
        <x:v>0.1</x:v>
      </x:c>
      <x:c r="D21" s="6" t="n">
        <x:f>D14/(1+$C21)^1+E14/(1+$C21)^2+F14/(1+$C21)^3+G14/(1+$C21)^4+H14/(1+$C21)^5+($H$14*(1+D$20)/($C21-D$20))/(1+$C21)^5</x:f>
        <x:v>120.73221386892975</x:v>
      </x:c>
      <x:c r="E21" s="6" t="n">
        <x:f>D14/(1+$C21)^1+E14/(1+$C21)^2+F14/(1+$C21)^3+G14/(1+$C21)^4+H14/(1+$C21)^5+($H$14*(1+E$20)/($C21-E$20))/(1+$C21)^5</x:f>
        <x:v>126.39326911921577</x:v>
      </x:c>
      <x:c r="F21" s="6" t="n">
        <x:f>D14/(1+$C21)^1+E14/(1+$C21)^2+F14/(1+$C21)^3+G14/(1+$C21)^4+H14/(1+$C21)^5+($H$14*(1+F$20)/($C21-F$20))/(1+$C21)^5</x:f>
        <x:v>132.80913173620655</x:v>
      </x:c>
      <x:c r="G21" s="6" t="n">
        <x:f>D14/(1+$C21)^1+E14/(1+$C21)^2+F14/(1+$C21)^3+G14/(1+$C21)^4+H14/(1+$C21)^5+($H$14*(1+G$20)/($C21-G$20))/(1+$C21)^5</x:f>
        <x:v>140.14154615562464</x:v>
      </x:c>
      <x:c r="H21" s="6" t="n">
        <x:f>D14/(1+$C21)^1+E14/(1+$C21)^2+F14/(1+$C21)^3+G14/(1+$C21)^4+H14/(1+$C21)^5+($H$14*(1+H$20)/($C21-H$20))/(1+$C21)^5</x:f>
        <x:v>148.60202433187627</x:v>
      </x:c>
      <x:c r="I21" s="1"/>
      <x:c r="J21" s="1"/>
      <x:c r="K21" s="1"/>
      <x:c r="L21" s="1"/>
    </x:row>
    <x:row r="22">
      <x:c r="A22" s="1" t="str">
        <x:v>Cash tax assumption</x:v>
      </x:c>
      <x:c r="B22" s="9" t="n">
        <x:v>0.25</x:v>
      </x:c>
      <x:c r="C22" s="8" t="n">
        <x:v>0.11</x:v>
      </x:c>
      <x:c r="D22" s="6" t="n">
        <x:f>D14/(1+$C22)^1+E14/(1+$C22)^2+F14/(1+$C22)^3+G14/(1+$C22)^4+H14/(1+$C22)^5+($H$14*(1+D$20)/($C22-D$20))/(1+$C22)^5</x:f>
        <x:v>107.65352545308917</x:v>
      </x:c>
      <x:c r="E22" s="6" t="n">
        <x:f>D14/(1+$C22)^1+E14/(1+$C22)^2+F14/(1+$C22)^3+G14/(1+$C22)^4+H14/(1+$C22)^5+($H$14*(1+E$20)/($C22-E$20))/(1+$C22)^5</x:f>
        <x:v>111.99581737779747</x:v>
      </x:c>
      <x:c r="F22" s="6" t="n">
        <x:f>D14/(1+$C22)^1+E14/(1+$C22)^2+F14/(1+$C22)^3+G14/(1+$C22)^4+H14/(1+$C22)^5+($H$14*(1+F$20)/($C22-F$20))/(1+$C22)^5</x:f>
        <x:v>116.84896717600083</x:v>
      </x:c>
      <x:c r="G22" s="6" t="n">
        <x:f>D14/(1+$C22)^1+E14/(1+$C22)^2+F14/(1+$C22)^3+G14/(1+$C22)^4+H14/(1+$C22)^5+($H$14*(1+G$20)/($C22-G$20))/(1+$C22)^5</x:f>
        <x:v>122.3087606989796</x:v>
      </x:c>
      <x:c r="H22" s="6" t="n">
        <x:f>D14/(1+$C22)^1+E14/(1+$C22)^2+F14/(1+$C22)^3+G14/(1+$C22)^4+H14/(1+$C22)^5+($H$14*(1+H$20)/($C22-H$20))/(1+$C22)^5</x:f>
        <x:v>128.4965266916889</x:v>
      </x:c>
      <x:c r="I22" s="1"/>
      <x:c r="J22" s="1"/>
      <x:c r="K22" s="1"/>
      <x:c r="L22" s="1"/>
    </x:row>
    <x:row r="23">
      <x:c r="A23" s="1" t="str">
        <x:v>D&amp;A / revenue assumption</x:v>
      </x:c>
      <x:c r="B23" s="9" t="n">
        <x:v>0.01</x:v>
      </x:c>
      <x:c r="C23" s="8" t="n">
        <x:v>0.12</x:v>
      </x:c>
      <x:c r="D23" s="6" t="n">
        <x:f>D14/(1+$C23)^1+E14/(1+$C23)^2+F14/(1+$C23)^3+G14/(1+$C23)^4+H14/(1+$C23)^5+($H$14*(1+D$20)/($C23-D$20))/(1+$C23)^5</x:f>
        <x:v>97.07780675707752</x:v>
      </x:c>
      <x:c r="E23" s="6" t="n">
        <x:f>D14/(1+$C23)^1+E14/(1+$C23)^2+F14/(1+$C23)^3+G14/(1+$C23)^4+H14/(1+$C23)^5+($H$14*(1+E$20)/($C23-E$20))/(1+$C23)^5</x:f>
        <x:v>100.48907331800186</x:v>
      </x:c>
      <x:c r="F23" s="19" t="n">
        <x:f>D14/(1+$C23)^1+E14/(1+$C23)^2+F14/(1+$C23)^3+G14/(1+$C23)^4+H14/(1+$C23)^5+($H$14*(1+F$20)/($C23-F$20))/(1+$C23)^5</x:f>
        <x:v>104.25942056954973</x:v>
      </x:c>
      <x:c r="G23" s="6" t="n">
        <x:f>D14/(1+$C23)^1+E14/(1+$C23)^2+F14/(1+$C23)^3+G14/(1+$C23)^4+H14/(1+$C23)^5+($H$14*(1+G$20)/($C23-G$20))/(1+$C23)^5</x:f>
        <x:v>108.44869529349187</x:v>
      </x:c>
      <x:c r="H23" s="6" t="n">
        <x:f>D14/(1+$C23)^1+E14/(1+$C23)^2+F14/(1+$C23)^3+G14/(1+$C23)^4+H14/(1+$C23)^5+($H$14*(1+H$20)/($C23-H$20))/(1+$C23)^5</x:f>
        <x:v>113.13082586730953</x:v>
      </x:c>
      <x:c r="I23" s="1"/>
      <x:c r="J23" s="1"/>
      <x:c r="K23" s="1"/>
      <x:c r="L23" s="1"/>
    </x:row>
    <x:row r="24">
      <x:c r="A24" s="1" t="str">
        <x:v>Capex / revenue assumption</x:v>
      </x:c>
      <x:c r="B24" s="9" t="n">
        <x:v>0.005</x:v>
      </x:c>
      <x:c r="C24" s="8" t="n">
        <x:v>0.13</x:v>
      </x:c>
      <x:c r="D24" s="6" t="n">
        <x:f>D14/(1+$C24)^1+E14/(1+$C24)^2+F14/(1+$C24)^3+G14/(1+$C24)^4+H14/(1+$C24)^5+($H$14*(1+D$20)/($C24-D$20))/(1+$C24)^5</x:f>
        <x:v>88.35162085405243</x:v>
      </x:c>
      <x:c r="E24" s="6" t="n">
        <x:f>D14/(1+$C24)^1+E14/(1+$C24)^2+F14/(1+$C24)^3+G14/(1+$C24)^4+H14/(1+$C24)^5+($H$14*(1+E$20)/($C24-E$20))/(1+$C24)^5</x:f>
        <x:v>91.08419998587738</x:v>
      </x:c>
      <x:c r="F24" s="6" t="n">
        <x:f>D14/(1+$C24)^1+E14/(1+$C24)^2+F14/(1+$C24)^3+G14/(1+$C24)^4+H14/(1+$C24)^5+($H$14*(1+F$20)/($C24-F$20))/(1+$C24)^5</x:f>
        <x:v>94.07702474930468</x:v>
      </x:c>
      <x:c r="G24" s="6" t="n">
        <x:f>D14/(1+$C24)^1+E14/(1+$C24)^2+F14/(1+$C24)^3+G14/(1+$C24)^4+H14/(1+$C24)^5+($H$14*(1+G$20)/($C24-G$20))/(1+$C24)^5</x:f>
        <x:v>97.36913198907473</x:v>
      </x:c>
      <x:c r="H24" s="6" t="n">
        <x:f>D14/(1+$C24)^1+E14/(1+$C24)^2+F14/(1+$C24)^3+G14/(1+$C24)^4+H14/(1+$C24)^5+($H$14*(1+H$20)/($C24-H$20))/(1+$C24)^5</x:f>
        <x:v>101.0077768330311</x:v>
      </x:c>
      <x:c r="I24" s="1"/>
      <x:c r="J24" s="1"/>
      <x:c r="K24" s="1"/>
      <x:c r="L24" s="1"/>
    </x:row>
    <x:row r="25">
      <x:c r="A25" s="1" t="str">
        <x:v>NWC investment / new revenue</x:v>
      </x:c>
      <x:c r="B25" s="9" t="n">
        <x:v>0.12</x:v>
      </x:c>
      <x:c r="C25" s="8" t="n">
        <x:v>0.14</x:v>
      </x:c>
      <x:c r="D25" s="6" t="n">
        <x:f>D14/(1+$C25)^1+E14/(1+$C25)^2+F14/(1+$C25)^3+G14/(1+$C25)^4+H14/(1+$C25)^5+($H$14*(1+D$20)/($C25-D$20))/(1+$C25)^5</x:f>
        <x:v>81.03065522360846</x:v>
      </x:c>
      <x:c r="E25" s="6" t="n">
        <x:f>D14/(1+$C25)^1+E14/(1+$C25)^2+F14/(1+$C25)^3+G14/(1+$C25)^4+H14/(1+$C25)^5+($H$14*(1+E$20)/($C25-E$20))/(1+$C25)^5</x:f>
        <x:v>83.2553292402025</x:v>
      </x:c>
      <x:c r="F25" s="6" t="n">
        <x:f>D14/(1+$C25)^1+E14/(1+$C25)^2+F14/(1+$C25)^3+G14/(1+$C25)^4+H14/(1+$C25)^5+($H$14*(1+F$20)/($C25-F$20))/(1+$C25)^5</x:f>
        <x:v>85.67345317128296</x:v>
      </x:c>
      <x:c r="G25" s="6" t="n">
        <x:f>D14/(1+$C25)^1+E14/(1+$C25)^2+F14/(1+$C25)^3+G14/(1+$C25)^4+H14/(1+$C25)^5+($H$14*(1+G$20)/($C25-G$20))/(1+$C25)^5</x:f>
        <x:v>88.31140655064348</x:v>
      </x:c>
      <x:c r="H25" s="6" t="n">
        <x:f>D14/(1+$C25)^1+E14/(1+$C25)^2+F14/(1+$C25)^3+G14/(1+$C25)^4+H14/(1+$C25)^5+($H$14*(1+H$20)/($C25-H$20))/(1+$C25)^5</x:f>
        <x:v>91.20059358518117</x:v>
      </x:c>
      <x:c r="I25" s="1"/>
      <x:c r="J25" s="1"/>
      <x:c r="K25" s="1"/>
      <x:c r="L25" s="1"/>
    </x:row>
    <x:row r="26">
      <x:c r="A26" s="1"/>
      <x:c r="B26" s="6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 t="str">
        <x:v>PV explicit cash flows</x:v>
      </x:c>
      <x:c r="B27" s="6" t="n">
        <x:f>SUM(D16:H16)</x:f>
        <x:v>35.2486003403247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 t="str">
        <x:v>Terminal value at end of Year 5</x:v>
      </x:c>
      <x:c r="B28" s="6" t="n">
        <x:f>H14*(1+B21)/(B20-B21)</x:f>
        <x:v>121.62064508178511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 t="str">
        <x:v>PV terminal value</x:v>
      </x:c>
      <x:c r="B29" s="6" t="n">
        <x:f>B28*H15</x:f>
        <x:v>69.01082022922505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5" t="str">
        <x:v>Standalone operating EV</x:v>
      </x:c>
      <x:c r="B30" s="16" t="n">
        <x:f>B27+B29</x:f>
        <x:v>104.25942056954975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5" t="str">
        <x:v>Standalone equity value</x:v>
      </x:c>
      <x:c r="B31" s="16" t="n">
        <x:f>B30-B9+B8</x:f>
        <x:v>67.24842056954975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5" t="str">
        <x:v>Standalone EV less offer EV</x:v>
      </x:c>
      <x:c r="B32" s="16" t="n">
        <x:f>B30-B16</x:f>
        <x:v>-29.776579430450255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 t="str">
        <x:v>LTM GAAP EBIT retains acquisition effects; growth is not organic.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 t="str">
        <x:v>Assumptions are team illustrations; no management forecast, purchase accounting or synergies.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 t="str">
        <x:v>FCF is discounted at year end; terminal FCF grows at g; WACC and g are assumptions.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 t="str">
        <x:v>NWC is modeled only on incremental revenue; decline releases working capital.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 t="str">
        <x:v>Offer EV excludes transaction fees; closing cash includes target cash and debt repayment.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17" hidden="0" customWidth="1"/>
    <x:col min="3" max="3" width="18" hidden="0" customWidth="1"/>
    <x:col min="4" max="4" width="28" hidden="0" customWidth="1"/>
    <x:col min="5" max="5" width="66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3" t="str">
        <x:v>Primary source inputs (USD millions except shares and prices)</x:v>
      </x:c>
      <x:c r="B1" s="3"/>
      <x:c r="C1" s="3"/>
      <x:c r="D1" s="3"/>
      <x:c r="E1" s="3"/>
      <x:c r="F1" s="1"/>
      <x:c r="G1" s="1"/>
      <x:c r="H1" s="1"/>
      <x:c r="I1" s="1"/>
      <x:c r="J1" s="1"/>
      <x:c r="K1" s="1"/>
      <x:c r="L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5" t="str">
        <x:v>Company / metric</x:v>
      </x:c>
      <x:c r="B3" s="5" t="str">
        <x:v>Value</x:v>
      </x:c>
      <x:c r="C3" s="5" t="str">
        <x:v>Type</x:v>
      </x:c>
      <x:c r="D3" s="5" t="str">
        <x:v>Period</x:v>
      </x:c>
      <x:c r="E3" s="5" t="str">
        <x:v>Source URL</x:v>
      </x:c>
      <x:c r="F3" s="1"/>
      <x:c r="G3" s="1"/>
      <x:c r="H3" s="1"/>
      <x:c r="I3" s="1"/>
      <x:c r="J3" s="1"/>
      <x:c r="K3" s="1"/>
      <x:c r="L3" s="1"/>
    </x:row>
    <x:row r="4">
      <x:c r="A4" s="1" t="str">
        <x:v>UA cash</x:v>
      </x:c>
      <x:c r="B4" s="7" t="n">
        <x:v>395.981</x:v>
      </x:c>
      <x:c r="C4" s="1" t="str">
        <x:v>Filed</x:v>
      </x:c>
      <x:c r="D4" s="1" t="str">
        <x:v>Jun 2026</x:v>
      </x:c>
      <x:c r="E4" s="1" t="str">
        <x:v>https://www.sec.gov/Archives/edgar/data/1336917/000133691726000111/ua-20260630.htm</x:v>
      </x:c>
      <x:c r="F4" s="1"/>
      <x:c r="G4" s="1"/>
      <x:c r="H4" s="1"/>
      <x:c r="I4" s="1"/>
      <x:c r="J4" s="1"/>
      <x:c r="K4" s="1"/>
      <x:c r="L4" s="1"/>
    </x:row>
    <x:row r="5">
      <x:c r="A5" s="1" t="str">
        <x:v>UA debt</x:v>
      </x:c>
      <x:c r="B5" s="7" t="n">
        <x:v>591.158</x:v>
      </x:c>
      <x:c r="C5" s="1" t="str">
        <x:v>Filed</x:v>
      </x:c>
      <x:c r="D5" s="1" t="str">
        <x:v>Jun 2026</x:v>
      </x:c>
      <x:c r="E5" s="1" t="str">
        <x:v>https://www.sec.gov/Archives/edgar/data/1336917/000133691726000111/ua-20260630.htm</x:v>
      </x:c>
      <x:c r="F5" s="1"/>
      <x:c r="G5" s="1"/>
      <x:c r="H5" s="1"/>
      <x:c r="I5" s="1"/>
      <x:c r="J5" s="1"/>
      <x:c r="K5" s="1"/>
      <x:c r="L5" s="1"/>
    </x:row>
    <x:row r="6">
      <x:c r="A6" s="1"/>
      <x:c r="B6" s="7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" t="str">
        <x:v>Escalade FY25 revenue</x:v>
      </x:c>
      <x:c r="B7" s="7" t="n">
        <x:v>240.158</x:v>
      </x:c>
      <x:c r="C7" s="1" t="str">
        <x:v>Filed</x:v>
      </x:c>
      <x:c r="D7" s="1" t="str">
        <x:v>FY2025</x:v>
      </x:c>
      <x:c r="E7" s="1" t="str">
        <x:v>https://www.sec.gov/Archives/edgar/data/33488/000143774926006094/esca20251231_10k.htm</x:v>
      </x:c>
      <x:c r="F7" s="1"/>
      <x:c r="G7" s="1"/>
      <x:c r="H7" s="1"/>
      <x:c r="I7" s="1"/>
      <x:c r="J7" s="1"/>
      <x:c r="K7" s="1"/>
      <x:c r="L7" s="1"/>
    </x:row>
    <x:row r="8">
      <x:c r="A8" s="1" t="str">
        <x:v>Escalade H1 2026 revenue</x:v>
      </x:c>
      <x:c r="B8" s="7" t="n">
        <x:v>113.487</x:v>
      </x:c>
      <x:c r="C8" s="1" t="str">
        <x:v>Filed</x:v>
      </x:c>
      <x:c r="D8" s="1" t="str">
        <x:v>H1 2026</x:v>
      </x:c>
      <x:c r="E8" s="1" t="str">
        <x:v>https://www.sec.gov/Archives/edgar/data/33488/000143774926024943/esca20260630_10q.htm</x:v>
      </x:c>
      <x:c r="F8" s="1"/>
      <x:c r="G8" s="1"/>
      <x:c r="H8" s="1"/>
      <x:c r="I8" s="1"/>
      <x:c r="J8" s="1"/>
      <x:c r="K8" s="1"/>
      <x:c r="L8" s="1"/>
    </x:row>
    <x:row r="9">
      <x:c r="A9" s="1" t="str">
        <x:v>Escalade H1 2025 revenue</x:v>
      </x:c>
      <x:c r="B9" s="7" t="n">
        <x:v>109.812</x:v>
      </x:c>
      <x:c r="C9" s="1" t="str">
        <x:v>Filed</x:v>
      </x:c>
      <x:c r="D9" s="1" t="str">
        <x:v>H1 2025</x:v>
      </x:c>
      <x:c r="E9" s="1" t="str">
        <x:v>https://www.sec.gov/Archives/edgar/data/33488/000143774926024943/esca20260630_10q.htm</x:v>
      </x:c>
      <x:c r="F9" s="1"/>
      <x:c r="G9" s="1"/>
      <x:c r="H9" s="1"/>
      <x:c r="I9" s="1"/>
      <x:c r="J9" s="1"/>
      <x:c r="K9" s="1"/>
      <x:c r="L9" s="1"/>
    </x:row>
    <x:row r="10">
      <x:c r="A10" s="1" t="str">
        <x:v>Escalade FY25 operating income</x:v>
      </x:c>
      <x:c r="B10" s="7" t="n">
        <x:v>18.727</x:v>
      </x:c>
      <x:c r="C10" s="1" t="str">
        <x:v>Filed</x:v>
      </x:c>
      <x:c r="D10" s="1" t="str">
        <x:v>FY2025</x:v>
      </x:c>
      <x:c r="E10" s="1" t="str">
        <x:v>https://www.sec.gov/Archives/edgar/data/33488/000143774926006094/esca20251231_10k.htm</x:v>
      </x:c>
      <x:c r="F10" s="1"/>
      <x:c r="G10" s="1"/>
      <x:c r="H10" s="1"/>
      <x:c r="I10" s="1"/>
      <x:c r="J10" s="1"/>
      <x:c r="K10" s="1"/>
      <x:c r="L10" s="1"/>
    </x:row>
    <x:row r="11">
      <x:c r="A11" s="1" t="str">
        <x:v>Escalade H1 2026 operating income</x:v>
      </x:c>
      <x:c r="B11" s="7" t="n">
        <x:v>17.769</x:v>
      </x:c>
      <x:c r="C11" s="1" t="str">
        <x:v>Filed</x:v>
      </x:c>
      <x:c r="D11" s="1" t="str">
        <x:v>H1 2026</x:v>
      </x:c>
      <x:c r="E11" s="1" t="str">
        <x:v>https://www.sec.gov/Archives/edgar/data/33488/000143774926024943/esca20260630_10q.htm</x:v>
      </x:c>
      <x:c r="F11" s="1"/>
      <x:c r="G11" s="1"/>
      <x:c r="H11" s="1"/>
      <x:c r="I11" s="1"/>
      <x:c r="J11" s="1"/>
      <x:c r="K11" s="1"/>
      <x:c r="L11" s="1"/>
    </x:row>
    <x:row r="12">
      <x:c r="A12" s="1" t="str">
        <x:v>Escalade H1 2025 operating income</x:v>
      </x:c>
      <x:c r="B12" s="7" t="n">
        <x:v>6.273</x:v>
      </x:c>
      <x:c r="C12" s="1" t="str">
        <x:v>Filed</x:v>
      </x:c>
      <x:c r="D12" s="1" t="str">
        <x:v>H1 2025</x:v>
      </x:c>
      <x:c r="E12" s="1" t="str">
        <x:v>https://www.sec.gov/Archives/edgar/data/33488/000143774926024943/esca20260630_10q.htm</x:v>
      </x:c>
      <x:c r="F12" s="1"/>
      <x:c r="G12" s="1"/>
      <x:c r="H12" s="1"/>
      <x:c r="I12" s="1"/>
      <x:c r="J12" s="1"/>
      <x:c r="K12" s="1"/>
      <x:c r="L12" s="1"/>
    </x:row>
    <x:row r="13">
      <x:c r="A13" s="1" t="str">
        <x:v>Escalade tariff recovery in H1 2026</x:v>
      </x:c>
      <x:c r="B13" s="7" t="n">
        <x:v>9.875</x:v>
      </x:c>
      <x:c r="C13" s="1" t="str">
        <x:v>Filed</x:v>
      </x:c>
      <x:c r="D13" s="1" t="str">
        <x:v>H1 2026</x:v>
      </x:c>
      <x:c r="E13" s="1" t="str">
        <x:v>https://www.sec.gov/Archives/edgar/data/33488/000143774926024943/esca20260630_10q.htm</x:v>
      </x:c>
      <x:c r="F13" s="1"/>
      <x:c r="G13" s="1"/>
      <x:c r="H13" s="1"/>
      <x:c r="I13" s="1"/>
      <x:c r="J13" s="1"/>
      <x:c r="K13" s="1"/>
      <x:c r="L13" s="1"/>
    </x:row>
    <x:row r="14">
      <x:c r="A14" s="1" t="str">
        <x:v>Escalade cash</x:v>
      </x:c>
      <x:c r="B14" s="7" t="n">
        <x:v>16.392</x:v>
      </x:c>
      <x:c r="C14" s="1" t="str">
        <x:v>Filed</x:v>
      </x:c>
      <x:c r="D14" s="1" t="str">
        <x:v>Jun 2026</x:v>
      </x:c>
      <x:c r="E14" s="1" t="str">
        <x:v>https://www.sec.gov/Archives/edgar/data/33488/000143774926024943/esca20260630_10q.htm</x:v>
      </x:c>
      <x:c r="F14" s="1"/>
      <x:c r="G14" s="1"/>
      <x:c r="H14" s="1"/>
      <x:c r="I14" s="1"/>
      <x:c r="J14" s="1"/>
      <x:c r="K14" s="1"/>
      <x:c r="L14" s="1"/>
    </x:row>
    <x:row r="15">
      <x:c r="A15" s="1" t="str">
        <x:v>Escalade debt</x:v>
      </x:c>
      <x:c r="B15" s="7" t="n">
        <x:v>14.881</x:v>
      </x:c>
      <x:c r="C15" s="1" t="str">
        <x:v>Filed</x:v>
      </x:c>
      <x:c r="D15" s="1" t="str">
        <x:v>Jun 2026</x:v>
      </x:c>
      <x:c r="E15" s="1" t="str">
        <x:v>https://www.sec.gov/Archives/edgar/data/33488/000143774926024943/esca20260630_10q.htm</x:v>
      </x:c>
      <x:c r="F15" s="1"/>
      <x:c r="G15" s="1"/>
      <x:c r="H15" s="1"/>
      <x:c r="I15" s="1"/>
      <x:c r="J15" s="1"/>
      <x:c r="K15" s="1"/>
      <x:c r="L15" s="1"/>
    </x:row>
    <x:row r="16">
      <x:c r="A16" s="1" t="str">
        <x:v>Escalade shares (millions)</x:v>
      </x:c>
      <x:c r="B16" s="7" t="n">
        <x:v>13.766074</x:v>
      </x:c>
      <x:c r="C16" s="1" t="str">
        <x:v>Filed</x:v>
      </x:c>
      <x:c r="D16" s="1" t="str">
        <x:v>Jun 2026</x:v>
      </x:c>
      <x:c r="E16" s="1" t="str">
        <x:v>https://www.sec.gov/Archives/edgar/data/33488/000143774926024943/esca20260630_10q.htm</x:v>
      </x:c>
      <x:c r="F16" s="1"/>
      <x:c r="G16" s="1"/>
      <x:c r="H16" s="1"/>
      <x:c r="I16" s="1"/>
      <x:c r="J16" s="1"/>
      <x:c r="K16" s="1"/>
      <x:c r="L16" s="1"/>
    </x:row>
    <x:row r="17">
      <x:c r="A17" s="1" t="str">
        <x:v>Escalade close per share</x:v>
      </x:c>
      <x:c r="B17" s="7" t="n">
        <x:v>18.89</x:v>
      </x:c>
      <x:c r="C17" s="1" t="str">
        <x:v>Secondary quote</x:v>
      </x:c>
      <x:c r="D17" s="1" t="str">
        <x:v>Oct 22 2026</x:v>
      </x:c>
      <x:c r="E17" s="1" t="str">
        <x:v>https://stockanalysis.com/stocks/esca/history/</x:v>
      </x:c>
      <x:c r="F17" s="1"/>
      <x:c r="G17" s="1"/>
      <x:c r="H17" s="1"/>
      <x:c r="I17" s="1"/>
      <x:c r="J17" s="1"/>
      <x:c r="K17" s="1"/>
      <x:c r="L17" s="1"/>
    </x:row>
    <x:row r="18">
      <x:c r="A18" s="1" t="str">
        <x:v>Escalade D&amp;A FY25</x:v>
      </x:c>
      <x:c r="B18" s="7" t="n">
        <x:v>5.063</x:v>
      </x:c>
      <x:c r="C18" s="1" t="str">
        <x:v>Filed</x:v>
      </x:c>
      <x:c r="D18" s="1" t="str">
        <x:v>FY2025</x:v>
      </x:c>
      <x:c r="E18" s="1" t="str">
        <x:v>https://www.sec.gov/Archives/edgar/data/33488/000143774926006094/esca20251231_10k.htm</x:v>
      </x:c>
      <x:c r="F18" s="1"/>
      <x:c r="G18" s="1"/>
      <x:c r="H18" s="1"/>
      <x:c r="I18" s="1"/>
      <x:c r="J18" s="1"/>
      <x:c r="K18" s="1"/>
      <x:c r="L18" s="1"/>
    </x:row>
    <x:row r="19">
      <x:c r="A19" s="1" t="str">
        <x:v>Escalade D&amp;A H1 2026</x:v>
      </x:c>
      <x:c r="B19" s="7" t="n">
        <x:v>2.503</x:v>
      </x:c>
      <x:c r="C19" s="1" t="str">
        <x:v>Filed</x:v>
      </x:c>
      <x:c r="D19" s="1" t="str">
        <x:v>H1 2026</x:v>
      </x:c>
      <x:c r="E19" s="1" t="str">
        <x:v>https://www.sec.gov/Archives/edgar/data/33488/000143774926024943/esca20260630_10q.htm</x:v>
      </x:c>
      <x:c r="F19" s="1"/>
      <x:c r="G19" s="1"/>
      <x:c r="H19" s="1"/>
      <x:c r="I19" s="1"/>
      <x:c r="J19" s="1"/>
      <x:c r="K19" s="1"/>
      <x:c r="L19" s="1"/>
    </x:row>
    <x:row r="20">
      <x:c r="A20" s="1" t="str">
        <x:v>Escalade D&amp;A H1 2025</x:v>
      </x:c>
      <x:c r="B20" s="7" t="n">
        <x:v>2.501</x:v>
      </x:c>
      <x:c r="C20" s="1" t="str">
        <x:v>Filed</x:v>
      </x:c>
      <x:c r="D20" s="1" t="str">
        <x:v>H1 2025</x:v>
      </x:c>
      <x:c r="E20" s="1" t="str">
        <x:v>https://www.sec.gov/Archives/edgar/data/33488/000143774926024943/esca20260630_10q.htm</x:v>
      </x:c>
      <x:c r="F20" s="1"/>
      <x:c r="G20" s="1"/>
      <x:c r="H20" s="1"/>
      <x:c r="I20" s="1"/>
      <x:c r="J20" s="1"/>
      <x:c r="K20" s="1"/>
      <x:c r="L20" s="1"/>
    </x:row>
    <x:row r="21">
      <x:c r="A21" s="1" t="str">
        <x:v>Escalade capex FY25</x:v>
      </x:c>
      <x:c r="B21" s="7" t="n">
        <x:v>2.512</x:v>
      </x:c>
      <x:c r="C21" s="1" t="str">
        <x:v>Filed</x:v>
      </x:c>
      <x:c r="D21" s="1" t="str">
        <x:v>FY2025</x:v>
      </x:c>
      <x:c r="E21" s="1" t="str">
        <x:v>https://www.sec.gov/Archives/edgar/data/33488/000143774926006094/esca20251231_10k.htm</x:v>
      </x:c>
      <x:c r="F21" s="1"/>
      <x:c r="G21" s="1"/>
      <x:c r="H21" s="1"/>
      <x:c r="I21" s="1"/>
      <x:c r="J21" s="1"/>
      <x:c r="K21" s="1"/>
      <x:c r="L21" s="1"/>
    </x:row>
    <x:row r="22">
      <x:c r="A22" s="1" t="str">
        <x:v>Escalade capex H1 2026</x:v>
      </x:c>
      <x:c r="B22" s="7" t="n">
        <x:v>1.29</x:v>
      </x:c>
      <x:c r="C22" s="1" t="str">
        <x:v>Filed</x:v>
      </x:c>
      <x:c r="D22" s="1" t="str">
        <x:v>H1 2026</x:v>
      </x:c>
      <x:c r="E22" s="1" t="str">
        <x:v>https://www.sec.gov/Archives/edgar/data/33488/000143774926024943/esca20260630_10q.htm</x:v>
      </x:c>
      <x:c r="F22" s="1"/>
      <x:c r="G22" s="1"/>
      <x:c r="H22" s="1"/>
      <x:c r="I22" s="1"/>
      <x:c r="J22" s="1"/>
      <x:c r="K22" s="1"/>
      <x:c r="L22" s="1"/>
    </x:row>
    <x:row r="23">
      <x:c r="A23" s="1" t="str">
        <x:v>Escalade capex H1 2025</x:v>
      </x:c>
      <x:c r="B23" s="7" t="n">
        <x:v>0.976</x:v>
      </x:c>
      <x:c r="C23" s="1" t="str">
        <x:v>Filed</x:v>
      </x:c>
      <x:c r="D23" s="1" t="str">
        <x:v>H1 2025</x:v>
      </x:c>
      <x:c r="E23" s="1" t="str">
        <x:v>https://www.sec.gov/Archives/edgar/data/33488/000143774926024943/esca20260630_10q.htm</x:v>
      </x:c>
      <x:c r="F23" s="1"/>
      <x:c r="G23" s="1"/>
      <x:c r="H23" s="1"/>
      <x:c r="I23" s="1"/>
      <x:c r="J23" s="1"/>
      <x:c r="K23" s="1"/>
      <x:c r="L23" s="1"/>
    </x:row>
    <x:row r="24">
      <x:c r="A24" s="1"/>
      <x:c r="B24" s="7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 t="str">
        <x:v>FitLife FY25 revenue</x:v>
      </x:c>
      <x:c r="B25" s="7" t="n">
        <x:v>81.458</x:v>
      </x:c>
      <x:c r="C25" s="1" t="str">
        <x:v>Filed</x:v>
      </x:c>
      <x:c r="D25" s="1" t="str">
        <x:v>FY2025</x:v>
      </x:c>
      <x:c r="E25" s="1" t="str">
        <x:v>https://www.sec.gov/Archives/edgar/data/1374328/000143774926010680/ftlf20251231_10k.htm</x:v>
      </x:c>
      <x:c r="F25" s="1"/>
      <x:c r="G25" s="1"/>
      <x:c r="H25" s="1"/>
      <x:c r="I25" s="1"/>
      <x:c r="J25" s="1"/>
      <x:c r="K25" s="1"/>
      <x:c r="L25" s="1"/>
    </x:row>
    <x:row r="26">
      <x:c r="A26" s="1" t="str">
        <x:v>FitLife H1 2026 revenue</x:v>
      </x:c>
      <x:c r="B26" s="7" t="n">
        <x:v>51.874</x:v>
      </x:c>
      <x:c r="C26" s="1" t="str">
        <x:v>Filed</x:v>
      </x:c>
      <x:c r="D26" s="1" t="str">
        <x:v>H1 2026</x:v>
      </x:c>
      <x:c r="E26" s="1" t="str">
        <x:v>https://www.sec.gov/Archives/edgar/data/1374328/000143774926027478/ftlf20260630_10q.htm</x:v>
      </x:c>
      <x:c r="F26" s="1"/>
      <x:c r="G26" s="1"/>
      <x:c r="H26" s="1"/>
      <x:c r="I26" s="1"/>
      <x:c r="J26" s="1"/>
      <x:c r="K26" s="1"/>
      <x:c r="L26" s="1"/>
    </x:row>
    <x:row r="27">
      <x:c r="A27" s="1" t="str">
        <x:v>FitLife H1 2025 revenue</x:v>
      </x:c>
      <x:c r="B27" s="7" t="n">
        <x:v>32.063</x:v>
      </x:c>
      <x:c r="C27" s="1" t="str">
        <x:v>Filed</x:v>
      </x:c>
      <x:c r="D27" s="1" t="str">
        <x:v>H1 2025</x:v>
      </x:c>
      <x:c r="E27" s="1" t="str">
        <x:v>https://www.sec.gov/Archives/edgar/data/1374328/000143774926027478/ftlf20260630_10q.htm</x:v>
      </x:c>
      <x:c r="F27" s="1"/>
      <x:c r="G27" s="1"/>
      <x:c r="H27" s="1"/>
      <x:c r="I27" s="1"/>
      <x:c r="J27" s="1"/>
      <x:c r="K27" s="1"/>
      <x:c r="L27" s="1"/>
    </x:row>
    <x:row r="28">
      <x:c r="A28" s="1" t="str">
        <x:v>FitLife FY25 operating income</x:v>
      </x:c>
      <x:c r="B28" s="7" t="n">
        <x:v>10.062</x:v>
      </x:c>
      <x:c r="C28" s="1" t="str">
        <x:v>Filed</x:v>
      </x:c>
      <x:c r="D28" s="1" t="str">
        <x:v>FY2025</x:v>
      </x:c>
      <x:c r="E28" s="1" t="str">
        <x:v>https://www.sec.gov/Archives/edgar/data/1374328/000143774926010680/ftlf20251231_10k.htm</x:v>
      </x:c>
      <x:c r="F28" s="1"/>
      <x:c r="G28" s="1"/>
      <x:c r="H28" s="1"/>
      <x:c r="I28" s="1"/>
      <x:c r="J28" s="1"/>
      <x:c r="K28" s="1"/>
      <x:c r="L28" s="1"/>
    </x:row>
    <x:row r="29">
      <x:c r="A29" s="1" t="str">
        <x:v>FitLife H1 2026 operating income</x:v>
      </x:c>
      <x:c r="B29" s="7" t="n">
        <x:v>6.416</x:v>
      </x:c>
      <x:c r="C29" s="1" t="str">
        <x:v>Filed</x:v>
      </x:c>
      <x:c r="D29" s="1" t="str">
        <x:v>H1 2026</x:v>
      </x:c>
      <x:c r="E29" s="1" t="str">
        <x:v>https://www.sec.gov/Archives/edgar/data/1374328/000143774926027478/ftlf20260630_10q.htm</x:v>
      </x:c>
      <x:c r="F29" s="1"/>
      <x:c r="G29" s="1"/>
      <x:c r="H29" s="1"/>
      <x:c r="I29" s="1"/>
      <x:c r="J29" s="1"/>
      <x:c r="K29" s="1"/>
      <x:c r="L29" s="1"/>
    </x:row>
    <x:row r="30">
      <x:c r="A30" s="1" t="str">
        <x:v>FitLife H1 2025 operating income</x:v>
      </x:c>
      <x:c r="B30" s="7" t="n">
        <x:v>5.476</x:v>
      </x:c>
      <x:c r="C30" s="1" t="str">
        <x:v>Filed</x:v>
      </x:c>
      <x:c r="D30" s="1" t="str">
        <x:v>H1 2025</x:v>
      </x:c>
      <x:c r="E30" s="1" t="str">
        <x:v>https://www.sec.gov/Archives/edgar/data/1374328/000143774926027478/ftlf20260630_10q.htm</x:v>
      </x:c>
      <x:c r="F30" s="1"/>
      <x:c r="G30" s="1"/>
      <x:c r="H30" s="1"/>
      <x:c r="I30" s="1"/>
      <x:c r="J30" s="1"/>
      <x:c r="K30" s="1"/>
      <x:c r="L30" s="1"/>
    </x:row>
    <x:row r="31">
      <x:c r="A31" s="1" t="str">
        <x:v>FitLife cash</x:v>
      </x:c>
      <x:c r="B31" s="7" t="n">
        <x:v>1.089</x:v>
      </x:c>
      <x:c r="C31" s="1" t="str">
        <x:v>Filed</x:v>
      </x:c>
      <x:c r="D31" s="1" t="str">
        <x:v>Jun 2026</x:v>
      </x:c>
      <x:c r="E31" s="1" t="str">
        <x:v>https://www.sec.gov/Archives/edgar/data/1374328/000143774926027478/ftlf20260630_10q.htm</x:v>
      </x:c>
      <x:c r="F31" s="1"/>
      <x:c r="G31" s="1"/>
      <x:c r="H31" s="1"/>
      <x:c r="I31" s="1"/>
      <x:c r="J31" s="1"/>
      <x:c r="K31" s="1"/>
      <x:c r="L31" s="1"/>
    </x:row>
    <x:row r="32">
      <x:c r="A32" s="1" t="str">
        <x:v>FitLife debt</x:v>
      </x:c>
      <x:c r="B32" s="7" t="n">
        <x:v>38.1</x:v>
      </x:c>
      <x:c r="C32" s="1" t="str">
        <x:v>Filed</x:v>
      </x:c>
      <x:c r="D32" s="1" t="str">
        <x:v>Jun 2026</x:v>
      </x:c>
      <x:c r="E32" s="1" t="str">
        <x:v>https://www.sec.gov/Archives/edgar/data/1374328/000143774926027478/ftlf20260630_10q.htm</x:v>
      </x:c>
      <x:c r="F32" s="1"/>
      <x:c r="G32" s="1"/>
      <x:c r="H32" s="1"/>
      <x:c r="I32" s="1"/>
      <x:c r="J32" s="1"/>
      <x:c r="K32" s="1"/>
      <x:c r="L32" s="1"/>
    </x:row>
    <x:row r="33">
      <x:c r="A33" s="1" t="str">
        <x:v>FitLife equity cap</x:v>
      </x:c>
      <x:c r="B33" s="7" t="n">
        <x:v>77.62</x:v>
      </x:c>
      <x:c r="C33" s="1" t="str">
        <x:v>Secondary quote</x:v>
      </x:c>
      <x:c r="D33" s="1" t="str">
        <x:v>Oct 22 2026</x:v>
      </x:c>
      <x:c r="E33" s="1" t="str">
        <x:v>https://robinhood.com/us/en/stocks/FTLF/</x:v>
      </x:c>
      <x:c r="F33" s="1"/>
      <x:c r="G33" s="1"/>
      <x:c r="H33" s="1"/>
      <x:c r="I33" s="1"/>
      <x:c r="J33" s="1"/>
      <x:c r="K33" s="1"/>
      <x:c r="L33" s="1"/>
    </x:row>
    <x:row r="34">
      <x:c r="A34" s="1" t="str">
        <x:v>FitLife D&amp;A FY25</x:v>
      </x:c>
      <x:c r="B34" s="7" t="n">
        <x:v>0.42</x:v>
      </x:c>
      <x:c r="C34" s="1" t="str">
        <x:v>Filed</x:v>
      </x:c>
      <x:c r="D34" s="1" t="str">
        <x:v>FY2025</x:v>
      </x:c>
      <x:c r="E34" s="1" t="str">
        <x:v>https://www.sec.gov/Archives/edgar/data/1374328/000143774926010680/ftlf20251231_10k.htm</x:v>
      </x:c>
      <x:c r="F34" s="1"/>
      <x:c r="G34" s="1"/>
      <x:c r="H34" s="1"/>
      <x:c r="I34" s="1"/>
      <x:c r="J34" s="1"/>
      <x:c r="K34" s="1"/>
      <x:c r="L34" s="1"/>
    </x:row>
    <x:row r="35">
      <x:c r="A35" s="1" t="str">
        <x:v>FitLife D&amp;A H1 2026</x:v>
      </x:c>
      <x:c r="B35" s="7" t="n">
        <x:v>0.5</x:v>
      </x:c>
      <x:c r="C35" s="1" t="str">
        <x:v>Filed</x:v>
      </x:c>
      <x:c r="D35" s="1" t="str">
        <x:v>H1 2026</x:v>
      </x:c>
      <x:c r="E35" s="1" t="str">
        <x:v>https://www.sec.gov/Archives/edgar/data/1374328/000143774926027478/ftlf20260630_10q.htm</x:v>
      </x:c>
      <x:c r="F35" s="1"/>
      <x:c r="G35" s="1"/>
      <x:c r="H35" s="1"/>
      <x:c r="I35" s="1"/>
      <x:c r="J35" s="1"/>
      <x:c r="K35" s="1"/>
      <x:c r="L35" s="1"/>
    </x:row>
    <x:row r="36">
      <x:c r="A36" s="1" t="str">
        <x:v>FitLife D&amp;A H1 2025</x:v>
      </x:c>
      <x:c r="B36" s="7" t="n">
        <x:v>0.033</x:v>
      </x:c>
      <x:c r="C36" s="1" t="str">
        <x:v>Filed</x:v>
      </x:c>
      <x:c r="D36" s="1" t="str">
        <x:v>H1 2025</x:v>
      </x:c>
      <x:c r="E36" s="1" t="str">
        <x:v>https://www.sec.gov/Archives/edgar/data/1374328/000143774926027478/ftlf20260630_10q.htm</x:v>
      </x:c>
      <x:c r="F36" s="1"/>
      <x:c r="G36" s="1"/>
      <x:c r="H36" s="1"/>
      <x:c r="I36" s="1"/>
      <x:c r="J36" s="1"/>
      <x:c r="K36" s="1"/>
      <x:c r="L36" s="1"/>
    </x:row>
    <x:row r="37">
      <x:c r="A37" s="1" t="str">
        <x:v>FitLife capex FY25</x:v>
      </x:c>
      <x:c r="B37" s="7" t="n">
        <x:v>0.042</x:v>
      </x:c>
      <x:c r="C37" s="1" t="str">
        <x:v>Filed</x:v>
      </x:c>
      <x:c r="D37" s="1" t="str">
        <x:v>FY2025</x:v>
      </x:c>
      <x:c r="E37" s="1" t="str">
        <x:v>https://www.sec.gov/Archives/edgar/data/1374328/000143774926010680/ftlf20251231_10k.htm</x:v>
      </x:c>
      <x:c r="F37" s="1"/>
      <x:c r="G37" s="1"/>
      <x:c r="H37" s="1"/>
      <x:c r="I37" s="1"/>
      <x:c r="J37" s="1"/>
      <x:c r="K37" s="1"/>
      <x:c r="L37" s="1"/>
    </x:row>
    <x:row r="38">
      <x:c r="A38" s="1" t="str">
        <x:v>FitLife capex H1 2026</x:v>
      </x:c>
      <x:c r="B38" s="7" t="n">
        <x:v>0</x:v>
      </x:c>
      <x:c r="C38" s="1" t="str">
        <x:v>Filed</x:v>
      </x:c>
      <x:c r="D38" s="1" t="str">
        <x:v>H1 2026</x:v>
      </x:c>
      <x:c r="E38" s="1" t="str">
        <x:v>https://www.sec.gov/Archives/edgar/data/1374328/000143774926027478/ftlf20260630_10q.htm</x:v>
      </x:c>
      <x:c r="F38" s="1"/>
      <x:c r="G38" s="1"/>
      <x:c r="H38" s="1"/>
      <x:c r="I38" s="1"/>
      <x:c r="J38" s="1"/>
      <x:c r="K38" s="1"/>
      <x:c r="L38" s="1"/>
    </x:row>
    <x:row r="39">
      <x:c r="A39" s="1" t="str">
        <x:v>FitLife capex H1 2025</x:v>
      </x:c>
      <x:c r="B39" s="7" t="n">
        <x:v>0.029</x:v>
      </x:c>
      <x:c r="C39" s="1" t="str">
        <x:v>Filed</x:v>
      </x:c>
      <x:c r="D39" s="1" t="str">
        <x:v>H1 2025</x:v>
      </x:c>
      <x:c r="E39" s="1" t="str">
        <x:v>https://www.sec.gov/Archives/edgar/data/1374328/000143774926027478/ftlf20260630_10q.htm</x:v>
      </x:c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1" t="str">
        <x:v>Secondary quotes are indicative; verify before submission. Assumptions are on each DCF tab.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</x:sheetData>
  <x:pageMargins left="0.7" right="0.7" top="0.75" bottom="0.75" header="0.3" footer="0.3"/>
</x:worksheet>
</file>